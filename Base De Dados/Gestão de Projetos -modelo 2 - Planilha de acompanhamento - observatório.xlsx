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updateLinks="always"/>
  <mc:AlternateContent xmlns:mc="http://schemas.openxmlformats.org/markup-compatibility/2006">
    <mc:Choice Requires="x15">
      <x15ac:absPath xmlns:x15ac="http://schemas.microsoft.com/office/spreadsheetml/2010/11/ac" url="https://sesigoias-my.sharepoint.com/personal/observatorio_iel_fieg_com_br/Documents/Painel Gestão De Projetos/Base De Dados/"/>
    </mc:Choice>
  </mc:AlternateContent>
  <xr:revisionPtr revIDLastSave="16579" documentId="13_ncr:1_{7AE6B5AA-3695-4ABB-B3ED-38D06AA8D5A7}" xr6:coauthVersionLast="47" xr6:coauthVersionMax="47" xr10:uidLastSave="{47D61710-F870-4B68-8C71-DE23E7C67BE0}"/>
  <bookViews>
    <workbookView xWindow="28680" yWindow="-120" windowWidth="29040" windowHeight="15720" firstSheet="1" xr2:uid="{584A0DAA-0F61-4510-B0D5-ECB3B83A4B06}"/>
  </bookViews>
  <sheets>
    <sheet name="Atividades" sheetId="2" r:id="rId1"/>
    <sheet name="Projetos" sheetId="1" r:id="rId2"/>
    <sheet name="Tabela Hora x Custo Colaborador" sheetId="4" state="hidden" r:id="rId3"/>
    <sheet name="Classe do Projeto" sheetId="8" state="hidden" r:id="rId4"/>
    <sheet name="Cliente Final" sheetId="9" state="hidden" r:id="rId5"/>
    <sheet name="Fontes de Recursos" sheetId="7" state="hidden" r:id="rId6"/>
    <sheet name="Status do Projeto" sheetId="5" state="hidden" r:id="rId7"/>
    <sheet name="Áreas da Demanda" sheetId="6" state="hidden" r:id="rId8"/>
    <sheet name="Etapas Macro" sheetId="3" state="hidden" r:id="rId9"/>
    <sheet name="Planilha1" sheetId="11" state="hidden" r:id="rId10"/>
    <sheet name="Subetapas do projeto" sheetId="10" r:id="rId11"/>
  </sheets>
  <definedNames>
    <definedName name="_xlnm._FilterDatabase" localSheetId="0" hidden="1">Atividades!$B$1:$K$2108</definedName>
    <definedName name="_xlnm._FilterDatabase" localSheetId="1" hidden="1">Projetos!$C$2:$P$53</definedName>
    <definedName name="_xlnm._FilterDatabase" localSheetId="10" hidden="1">'Subetapas do projeto'!$B$2:$F$230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5" i="2" l="1"/>
  <c r="C2104" i="2"/>
  <c r="C2101" i="2"/>
  <c r="C2100" i="2"/>
  <c r="C2099" i="2"/>
  <c r="C2098" i="2"/>
  <c r="C2097" i="2"/>
  <c r="C2096" i="2"/>
  <c r="C2095" i="2"/>
  <c r="C2108" i="2"/>
  <c r="C2107" i="2"/>
  <c r="C2106" i="2"/>
  <c r="C2103" i="2"/>
  <c r="C2102" i="2"/>
  <c r="C2094" i="2"/>
  <c r="C2093" i="2"/>
  <c r="C2092" i="2"/>
  <c r="C2091" i="2"/>
  <c r="C2090" i="2"/>
  <c r="C2089" i="2"/>
  <c r="C2080" i="2"/>
  <c r="C2088" i="2"/>
  <c r="C2087" i="2"/>
  <c r="C2086" i="2"/>
  <c r="C2085" i="2"/>
  <c r="C2084" i="2"/>
  <c r="C2083" i="2"/>
  <c r="C2082" i="2"/>
  <c r="C2081" i="2"/>
  <c r="C2079" i="2"/>
  <c r="C2078" i="2"/>
  <c r="C2077" i="2"/>
  <c r="C2076" i="2"/>
  <c r="C2075" i="2"/>
  <c r="C2074" i="2"/>
  <c r="C2073" i="2"/>
  <c r="C2072" i="2"/>
  <c r="C2071" i="2"/>
  <c r="C2070" i="2"/>
  <c r="C2062" i="2"/>
  <c r="C2069" i="2"/>
  <c r="C2068" i="2"/>
  <c r="C2067" i="2"/>
  <c r="C2066" i="2"/>
  <c r="C2065" i="2"/>
  <c r="C2064" i="2"/>
  <c r="C2063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7" i="2"/>
  <c r="C2038" i="2"/>
  <c r="C2039" i="2"/>
  <c r="C2036" i="2"/>
  <c r="C1994" i="2"/>
  <c r="C2035" i="2"/>
  <c r="C2034" i="2"/>
  <c r="C2033" i="2"/>
  <c r="C2032" i="2"/>
  <c r="C2031" i="2"/>
  <c r="C2008" i="2"/>
  <c r="C2009" i="2"/>
  <c r="C1937" i="2"/>
  <c r="C1953" i="2"/>
  <c r="C1930" i="2"/>
  <c r="C1919" i="2"/>
  <c r="C1918" i="2"/>
  <c r="C1922" i="2"/>
  <c r="C1917" i="2"/>
  <c r="C1916" i="2"/>
  <c r="C1915" i="2"/>
  <c r="C1914" i="2"/>
  <c r="C1913" i="2"/>
  <c r="C1912" i="2"/>
  <c r="C1911" i="2"/>
  <c r="C1910" i="2"/>
  <c r="C1909" i="2"/>
  <c r="C1908" i="2"/>
  <c r="C1903" i="2"/>
  <c r="C1904" i="2"/>
  <c r="C1907" i="2"/>
  <c r="C1902" i="2"/>
  <c r="C1895" i="2"/>
  <c r="C1877" i="2"/>
  <c r="C1866" i="2"/>
  <c r="C1867" i="2"/>
  <c r="C1865" i="2"/>
  <c r="C1864" i="2"/>
  <c r="C1863" i="2"/>
  <c r="C1861" i="2"/>
  <c r="C1859" i="2"/>
  <c r="C1854" i="2"/>
  <c r="C1857" i="2"/>
  <c r="C1858" i="2"/>
  <c r="C1852" i="2"/>
  <c r="C1850" i="2"/>
  <c r="C1848" i="2"/>
  <c r="C1845" i="2"/>
  <c r="C1844" i="2"/>
  <c r="C1843" i="2"/>
  <c r="C1849" i="2"/>
  <c r="C1851" i="2"/>
  <c r="C1853" i="2"/>
  <c r="C1855" i="2"/>
  <c r="C1856" i="2"/>
  <c r="C1860" i="2"/>
  <c r="C1862" i="2"/>
  <c r="C1842" i="2"/>
  <c r="C1841" i="2"/>
  <c r="C1840" i="2"/>
  <c r="C1835" i="2"/>
  <c r="C1834" i="2"/>
  <c r="C1833" i="2"/>
  <c r="C1836" i="2"/>
  <c r="C1832" i="2"/>
  <c r="C1831" i="2"/>
  <c r="C1830" i="2"/>
  <c r="C1827" i="2"/>
  <c r="C1826" i="2"/>
  <c r="C1825" i="2"/>
  <c r="C1824" i="2"/>
  <c r="C1823" i="2"/>
  <c r="C1821" i="2"/>
  <c r="C1820" i="2"/>
  <c r="C1819" i="2"/>
  <c r="C1818" i="2"/>
  <c r="C1817" i="2"/>
  <c r="C1816" i="2"/>
  <c r="C1815" i="2"/>
  <c r="C1813" i="2"/>
  <c r="C1812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2" i="2"/>
  <c r="C1951" i="2"/>
  <c r="C1950" i="2"/>
  <c r="C1949" i="2"/>
  <c r="C1948" i="2"/>
  <c r="C1945" i="2"/>
  <c r="C1944" i="2"/>
  <c r="C1941" i="2"/>
  <c r="C1940" i="2"/>
  <c r="C1939" i="2"/>
  <c r="C1938" i="2"/>
  <c r="C1936" i="2"/>
  <c r="C1935" i="2"/>
  <c r="C1934" i="2"/>
  <c r="C1933" i="2"/>
  <c r="C1932" i="2"/>
  <c r="C1931" i="2"/>
  <c r="C1928" i="2"/>
  <c r="C1927" i="2"/>
  <c r="C1926" i="2"/>
  <c r="C1925" i="2"/>
  <c r="C1924" i="2"/>
  <c r="C1923" i="2"/>
  <c r="C1921" i="2"/>
  <c r="C1920" i="2"/>
  <c r="C1906" i="2"/>
  <c r="C1905" i="2"/>
  <c r="C1901" i="2"/>
  <c r="C1900" i="2"/>
  <c r="C1899" i="2"/>
  <c r="C1898" i="2"/>
  <c r="C1897" i="2"/>
  <c r="C1896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6" i="2"/>
  <c r="C1875" i="2"/>
  <c r="C1874" i="2"/>
  <c r="C1873" i="2"/>
  <c r="C1872" i="2"/>
  <c r="C1871" i="2"/>
  <c r="C1870" i="2"/>
  <c r="C1869" i="2"/>
  <c r="C1868" i="2"/>
  <c r="C1847" i="2"/>
  <c r="C1846" i="2"/>
  <c r="C1839" i="2"/>
  <c r="C1838" i="2"/>
  <c r="C1837" i="2"/>
  <c r="C1829" i="2"/>
  <c r="C1828" i="2"/>
  <c r="C1822" i="2"/>
  <c r="C1814" i="2"/>
  <c r="C1811" i="2"/>
  <c r="C1810" i="2"/>
  <c r="C1809" i="2"/>
  <c r="C1808" i="2"/>
  <c r="C1807" i="2"/>
  <c r="C1806" i="2"/>
  <c r="C1805" i="2"/>
  <c r="C1804" i="2"/>
  <c r="C1803" i="2"/>
  <c r="C1802" i="2"/>
  <c r="C1801" i="2"/>
  <c r="C1774" i="2"/>
  <c r="C1764" i="2"/>
  <c r="C1766" i="2"/>
  <c r="C1767" i="2"/>
  <c r="C1765" i="2"/>
  <c r="C1762" i="2"/>
  <c r="C1761" i="2"/>
  <c r="C1760" i="2"/>
  <c r="C1759" i="2"/>
  <c r="C1758" i="2"/>
  <c r="C1757" i="2"/>
  <c r="C1756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3" i="2"/>
  <c r="C1772" i="2"/>
  <c r="C1771" i="2"/>
  <c r="C1770" i="2"/>
  <c r="C1768" i="2"/>
  <c r="C1769" i="2"/>
  <c r="C1763" i="2"/>
  <c r="C1755" i="2"/>
  <c r="C1754" i="2"/>
  <c r="C1753" i="2"/>
  <c r="C1752" i="2"/>
  <c r="C1751" i="2"/>
  <c r="C1750" i="2"/>
  <c r="C1749" i="2"/>
  <c r="C1748" i="2"/>
  <c r="C1747" i="2"/>
  <c r="C1746" i="2"/>
  <c r="C1744" i="2"/>
  <c r="C1743" i="2"/>
  <c r="C1742" i="2"/>
  <c r="C1695" i="2"/>
  <c r="C1694" i="2"/>
  <c r="C1693" i="2"/>
  <c r="C1692" i="2"/>
  <c r="C1691" i="2"/>
  <c r="C1690" i="2"/>
  <c r="C1689" i="2"/>
  <c r="C1688" i="2"/>
  <c r="C1687" i="2"/>
  <c r="C1683" i="2"/>
  <c r="C1684" i="2"/>
  <c r="C1685" i="2"/>
  <c r="C1686" i="2"/>
  <c r="C1682" i="2"/>
  <c r="C1680" i="2"/>
  <c r="C1681" i="2"/>
  <c r="C1679" i="2"/>
  <c r="C1667" i="2"/>
  <c r="C1665" i="2"/>
  <c r="C1662" i="2"/>
  <c r="C1661" i="2"/>
  <c r="C1660" i="2"/>
  <c r="C1659" i="2"/>
  <c r="C1658" i="2"/>
  <c r="C1646" i="2"/>
  <c r="C1638" i="2"/>
  <c r="C1627" i="2"/>
  <c r="C1626" i="2"/>
  <c r="C1615" i="2"/>
  <c r="C1607" i="2"/>
  <c r="C1603" i="2"/>
  <c r="C1597" i="2"/>
  <c r="C1596" i="2"/>
  <c r="C1588" i="2"/>
  <c r="C1587" i="2"/>
  <c r="C1533" i="2"/>
  <c r="C1485" i="2"/>
  <c r="C1492" i="2"/>
  <c r="C1532" i="2"/>
  <c r="C1531" i="2"/>
  <c r="C1549" i="2"/>
  <c r="C1551" i="2"/>
  <c r="C1550" i="2"/>
  <c r="C1517" i="2"/>
  <c r="C1563" i="2"/>
  <c r="C1562" i="2"/>
  <c r="C1573" i="2"/>
  <c r="C1572" i="2"/>
  <c r="C1580" i="2"/>
  <c r="C1581" i="2"/>
  <c r="D1581" i="2"/>
  <c r="C1564" i="2"/>
  <c r="C1559" i="2"/>
  <c r="C1557" i="2"/>
  <c r="C1556" i="2"/>
  <c r="C1543" i="2"/>
  <c r="C1539" i="2"/>
  <c r="C1535" i="2"/>
  <c r="C1534" i="2"/>
  <c r="C1530" i="2"/>
  <c r="C1528" i="2"/>
  <c r="C1525" i="2"/>
  <c r="C1524" i="2"/>
  <c r="C1508" i="2"/>
  <c r="C1509" i="2"/>
  <c r="C1510" i="2"/>
  <c r="C1511" i="2"/>
  <c r="C1512" i="2"/>
  <c r="C1513" i="2"/>
  <c r="C1514" i="2"/>
  <c r="C1515" i="2"/>
  <c r="C1516" i="2"/>
  <c r="C1518" i="2"/>
  <c r="C1519" i="2"/>
  <c r="C1520" i="2"/>
  <c r="C1521" i="2"/>
  <c r="C1522" i="2"/>
  <c r="C1523" i="2"/>
  <c r="C1526" i="2"/>
  <c r="C1527" i="2"/>
  <c r="C1529" i="2"/>
  <c r="C1536" i="2"/>
  <c r="C1537" i="2"/>
  <c r="C1538" i="2"/>
  <c r="C1540" i="2"/>
  <c r="C1541" i="2"/>
  <c r="C1542" i="2"/>
  <c r="C1544" i="2"/>
  <c r="C1545" i="2"/>
  <c r="C1546" i="2"/>
  <c r="C1547" i="2"/>
  <c r="C1548" i="2"/>
  <c r="C1552" i="2"/>
  <c r="C1553" i="2"/>
  <c r="C1554" i="2"/>
  <c r="C1555" i="2"/>
  <c r="C1558" i="2"/>
  <c r="C1560" i="2"/>
  <c r="C1561" i="2"/>
  <c r="C1565" i="2"/>
  <c r="C1567" i="2"/>
  <c r="C1568" i="2"/>
  <c r="C1569" i="2"/>
  <c r="C1570" i="2"/>
  <c r="C1571" i="2"/>
  <c r="C1574" i="2"/>
  <c r="C1575" i="2"/>
  <c r="C1576" i="2"/>
  <c r="C1577" i="2"/>
  <c r="C1578" i="2"/>
  <c r="C1579" i="2"/>
  <c r="C1582" i="2"/>
  <c r="C1583" i="2"/>
  <c r="C1584" i="2"/>
  <c r="C1585" i="2"/>
  <c r="C1586" i="2"/>
  <c r="C1589" i="2"/>
  <c r="C1590" i="2"/>
  <c r="C1591" i="2"/>
  <c r="C1592" i="2"/>
  <c r="C1593" i="2"/>
  <c r="C1594" i="2"/>
  <c r="C1595" i="2"/>
  <c r="C1598" i="2"/>
  <c r="C1599" i="2"/>
  <c r="C1600" i="2"/>
  <c r="C1601" i="2"/>
  <c r="C1602" i="2"/>
  <c r="C1604" i="2"/>
  <c r="C1605" i="2"/>
  <c r="C1606" i="2"/>
  <c r="C1608" i="2"/>
  <c r="C1609" i="2"/>
  <c r="C1610" i="2"/>
  <c r="C1611" i="2"/>
  <c r="C1612" i="2"/>
  <c r="C1613" i="2"/>
  <c r="C1614" i="2"/>
  <c r="C1616" i="2"/>
  <c r="C1617" i="2"/>
  <c r="C1618" i="2"/>
  <c r="C1619" i="2"/>
  <c r="C1620" i="2"/>
  <c r="C1621" i="2"/>
  <c r="C1622" i="2"/>
  <c r="C1623" i="2"/>
  <c r="C1624" i="2"/>
  <c r="C1625" i="2"/>
  <c r="C1628" i="2"/>
  <c r="C1629" i="2"/>
  <c r="C1630" i="2"/>
  <c r="C1631" i="2"/>
  <c r="C1632" i="2"/>
  <c r="C1633" i="2"/>
  <c r="C1634" i="2"/>
  <c r="C1635" i="2"/>
  <c r="C1636" i="2"/>
  <c r="C1637" i="2"/>
  <c r="C1639" i="2"/>
  <c r="C1640" i="2"/>
  <c r="C1641" i="2"/>
  <c r="C1642" i="2"/>
  <c r="C1643" i="2"/>
  <c r="C1644" i="2"/>
  <c r="C1645" i="2"/>
  <c r="C1647" i="2"/>
  <c r="C1648" i="2"/>
  <c r="C1649" i="2"/>
  <c r="C1650" i="2"/>
  <c r="C1651" i="2"/>
  <c r="C1652" i="2"/>
  <c r="C1653" i="2"/>
  <c r="C1654" i="2"/>
  <c r="C1655" i="2"/>
  <c r="C1656" i="2"/>
  <c r="C1657" i="2"/>
  <c r="C1664" i="2"/>
  <c r="C1666" i="2"/>
  <c r="C1668" i="2"/>
  <c r="C1669" i="2"/>
  <c r="C1670" i="2"/>
  <c r="C1671" i="2"/>
  <c r="C1672" i="2"/>
  <c r="C1673" i="2"/>
  <c r="C1674" i="2"/>
  <c r="C1675" i="2"/>
  <c r="C1676" i="2"/>
  <c r="C1677" i="2"/>
  <c r="C1678" i="2"/>
  <c r="C1697" i="2"/>
  <c r="C1698" i="2"/>
  <c r="C1699" i="2"/>
  <c r="C1700" i="2"/>
  <c r="C1701" i="2"/>
  <c r="C1702" i="2"/>
  <c r="C1703" i="2"/>
  <c r="C1704" i="2"/>
  <c r="C1506" i="2"/>
  <c r="C1505" i="2"/>
  <c r="C1503" i="2"/>
  <c r="C1474" i="2"/>
  <c r="C1471" i="2"/>
  <c r="C1457" i="2"/>
  <c r="C1448" i="2"/>
  <c r="C1438" i="2"/>
  <c r="C1423" i="2"/>
  <c r="C1402" i="2"/>
  <c r="C1403" i="2"/>
  <c r="C1404" i="2"/>
  <c r="C1433" i="2"/>
  <c r="C1418" i="2"/>
  <c r="C1373" i="2"/>
  <c r="C1371" i="2"/>
  <c r="C1372" i="2"/>
  <c r="C1375" i="2"/>
  <c r="C1376" i="2"/>
  <c r="C1378" i="2"/>
  <c r="C1384" i="2"/>
  <c r="C1350" i="2"/>
  <c r="C1337" i="2"/>
  <c r="C1336" i="2"/>
  <c r="C207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1310" i="2"/>
  <c r="C1311" i="2"/>
  <c r="C1295" i="2"/>
  <c r="C1296" i="2"/>
  <c r="C1289" i="2"/>
  <c r="C1288" i="2"/>
  <c r="C1309" i="2"/>
  <c r="C1306" i="2"/>
  <c r="C1307" i="2"/>
  <c r="C1308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4" i="2"/>
  <c r="C1377" i="2"/>
  <c r="C1379" i="2"/>
  <c r="C1380" i="2"/>
  <c r="C1381" i="2"/>
  <c r="C1382" i="2"/>
  <c r="C1383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9" i="2"/>
  <c r="C1420" i="2"/>
  <c r="C1421" i="2"/>
  <c r="C1422" i="2"/>
  <c r="C1424" i="2"/>
  <c r="C1425" i="2"/>
  <c r="C1426" i="2"/>
  <c r="C1427" i="2"/>
  <c r="C1428" i="2"/>
  <c r="C1429" i="2"/>
  <c r="C1430" i="2"/>
  <c r="C1431" i="2"/>
  <c r="C1432" i="2"/>
  <c r="C1434" i="2"/>
  <c r="C1435" i="2"/>
  <c r="C1436" i="2"/>
  <c r="C1437" i="2"/>
  <c r="C1439" i="2"/>
  <c r="C1440" i="2"/>
  <c r="C1441" i="2"/>
  <c r="C1442" i="2"/>
  <c r="C1443" i="2"/>
  <c r="C1444" i="2"/>
  <c r="C1445" i="2"/>
  <c r="C1446" i="2"/>
  <c r="C1447" i="2"/>
  <c r="C1449" i="2"/>
  <c r="C1450" i="2"/>
  <c r="C1451" i="2"/>
  <c r="C1452" i="2"/>
  <c r="C1453" i="2"/>
  <c r="C1454" i="2"/>
  <c r="C1455" i="2"/>
  <c r="C1456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2" i="2"/>
  <c r="C1473" i="2"/>
  <c r="C1475" i="2"/>
  <c r="C1476" i="2"/>
  <c r="C1477" i="2"/>
  <c r="C1478" i="2"/>
  <c r="C1479" i="2"/>
  <c r="C1480" i="2"/>
  <c r="C1481" i="2"/>
  <c r="C1482" i="2"/>
  <c r="C1483" i="2"/>
  <c r="C1484" i="2"/>
  <c r="C1486" i="2"/>
  <c r="C1487" i="2"/>
  <c r="C1488" i="2"/>
  <c r="C1489" i="2"/>
  <c r="C1490" i="2"/>
  <c r="C1491" i="2"/>
  <c r="C1493" i="2"/>
  <c r="C1494" i="2"/>
  <c r="C1495" i="2"/>
  <c r="C1496" i="2"/>
  <c r="C1497" i="2"/>
  <c r="C1498" i="2"/>
  <c r="C1499" i="2"/>
  <c r="C1500" i="2"/>
  <c r="C1501" i="2"/>
  <c r="C1502" i="2"/>
  <c r="C1504" i="2"/>
  <c r="C1507" i="2"/>
  <c r="C1300" i="2"/>
  <c r="C1301" i="2"/>
  <c r="C1302" i="2"/>
  <c r="C1303" i="2"/>
  <c r="C1304" i="2"/>
  <c r="C1305" i="2"/>
  <c r="C1294" i="2"/>
  <c r="C1297" i="2"/>
  <c r="C1298" i="2"/>
  <c r="C1299" i="2"/>
  <c r="C1291" i="2"/>
  <c r="C1214" i="2"/>
  <c r="C1216" i="2"/>
  <c r="C1213" i="2"/>
  <c r="C1215" i="2"/>
  <c r="C1211" i="2"/>
  <c r="C1209" i="2"/>
  <c r="C1210" i="2"/>
  <c r="D1200" i="2"/>
  <c r="D1203" i="2"/>
  <c r="D1202" i="2"/>
  <c r="D1201" i="2"/>
  <c r="D1199" i="2"/>
  <c r="D1198" i="2"/>
  <c r="D1197" i="2"/>
  <c r="D1196" i="2"/>
  <c r="D1195" i="2"/>
  <c r="D1194" i="2"/>
  <c r="D1193" i="2"/>
  <c r="D1192" i="2"/>
  <c r="D1191" i="2"/>
  <c r="D1190" i="2"/>
  <c r="C1251" i="2"/>
  <c r="C1261" i="2"/>
  <c r="C1250" i="2"/>
  <c r="C1248" i="2"/>
  <c r="C1249" i="2"/>
  <c r="C1292" i="2"/>
  <c r="C1293" i="2"/>
  <c r="C1287" i="2"/>
  <c r="C1290" i="2"/>
  <c r="C1263" i="2"/>
  <c r="C1253" i="2"/>
  <c r="C1254" i="2"/>
  <c r="C1255" i="2"/>
  <c r="C1256" i="2"/>
  <c r="C1257" i="2"/>
  <c r="C1258" i="2"/>
  <c r="C1259" i="2"/>
  <c r="C1036" i="2"/>
  <c r="C1026" i="2"/>
  <c r="C1027" i="2"/>
  <c r="C996" i="2"/>
  <c r="C954" i="2"/>
  <c r="C955" i="2"/>
  <c r="C950" i="2"/>
  <c r="C945" i="2"/>
  <c r="C935" i="2"/>
  <c r="C925" i="2"/>
  <c r="C926" i="2"/>
  <c r="C920" i="2"/>
  <c r="C905" i="2"/>
  <c r="C901" i="2"/>
  <c r="C880" i="2"/>
  <c r="C877" i="2"/>
  <c r="C871" i="2"/>
  <c r="C838" i="2"/>
  <c r="C839" i="2"/>
  <c r="C840" i="2"/>
  <c r="C841" i="2"/>
  <c r="D1204" i="2"/>
  <c r="D1189" i="2"/>
  <c r="C1235" i="2"/>
  <c r="C1234" i="2"/>
  <c r="C1233" i="2"/>
  <c r="C1227" i="2"/>
  <c r="C1226" i="2"/>
  <c r="C1225" i="2"/>
  <c r="C1183" i="2"/>
  <c r="C1178" i="2"/>
  <c r="C1177" i="2"/>
  <c r="C1176" i="2"/>
  <c r="C1184" i="2"/>
  <c r="C1185" i="2"/>
  <c r="C1212" i="2"/>
  <c r="C1186" i="2"/>
  <c r="C1187" i="2"/>
  <c r="C1188" i="2"/>
  <c r="C1205" i="2"/>
  <c r="C1206" i="2"/>
  <c r="C1207" i="2"/>
  <c r="C1208" i="2"/>
  <c r="C1220" i="2"/>
  <c r="C1217" i="2"/>
  <c r="C1218" i="2"/>
  <c r="C1219" i="2"/>
  <c r="C1141" i="2"/>
  <c r="C1221" i="2"/>
  <c r="C1222" i="2"/>
  <c r="C1223" i="2"/>
  <c r="C1224" i="2"/>
  <c r="C1228" i="2"/>
  <c r="C1229" i="2"/>
  <c r="C1230" i="2"/>
  <c r="C1231" i="2"/>
  <c r="C1232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52" i="2"/>
  <c r="C1260" i="2"/>
  <c r="C1262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86" i="2"/>
  <c r="C1285" i="2"/>
  <c r="C1280" i="2"/>
  <c r="C1281" i="2"/>
  <c r="C1282" i="2"/>
  <c r="C1283" i="2"/>
  <c r="C1284" i="2"/>
  <c r="C1278" i="2"/>
  <c r="C1279" i="2"/>
  <c r="C1159" i="2"/>
  <c r="C1160" i="2"/>
  <c r="C1161" i="2"/>
  <c r="C1162" i="2"/>
  <c r="C1163" i="2"/>
  <c r="C1164" i="2"/>
  <c r="C1165" i="2"/>
  <c r="C1167" i="2"/>
  <c r="C1168" i="2"/>
  <c r="C1181" i="2"/>
  <c r="C1169" i="2"/>
  <c r="C1170" i="2"/>
  <c r="C1171" i="2"/>
  <c r="C1172" i="2"/>
  <c r="C1173" i="2"/>
  <c r="C1174" i="2"/>
  <c r="C1175" i="2"/>
  <c r="C1179" i="2"/>
  <c r="C1180" i="2"/>
  <c r="C1182" i="2"/>
  <c r="C1154" i="2"/>
  <c r="C1155" i="2"/>
  <c r="C1156" i="2"/>
  <c r="C1157" i="2"/>
  <c r="C1158" i="2"/>
  <c r="C1145" i="2"/>
  <c r="C1147" i="2"/>
  <c r="C1146" i="2"/>
  <c r="C1148" i="2"/>
  <c r="C1149" i="2"/>
  <c r="C1150" i="2"/>
  <c r="C1151" i="2"/>
  <c r="C1152" i="2"/>
  <c r="C1153" i="2"/>
  <c r="C1130" i="2"/>
  <c r="C1131" i="2"/>
  <c r="C1132" i="2"/>
  <c r="C1133" i="2"/>
  <c r="C1134" i="2"/>
  <c r="C1135" i="2"/>
  <c r="C1136" i="2"/>
  <c r="C1137" i="2"/>
  <c r="C1138" i="2"/>
  <c r="C1139" i="2"/>
  <c r="C1140" i="2"/>
  <c r="C1142" i="2"/>
  <c r="C1143" i="2"/>
  <c r="C1166" i="2"/>
  <c r="C114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12" i="2"/>
  <c r="C1113" i="2"/>
  <c r="C1114" i="2"/>
  <c r="C1110" i="2"/>
  <c r="C1108" i="2"/>
  <c r="C1109" i="2"/>
  <c r="C1111" i="2"/>
  <c r="D1100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60" i="2"/>
  <c r="D1059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81" i="2"/>
  <c r="D1082" i="2"/>
  <c r="D1083" i="2"/>
  <c r="D1084" i="2"/>
  <c r="D1085" i="2"/>
  <c r="D1079" i="2"/>
  <c r="D1080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1" i="2"/>
  <c r="D1102" i="2"/>
  <c r="D1103" i="2"/>
  <c r="D1104" i="2"/>
  <c r="D1105" i="2"/>
  <c r="D1106" i="2"/>
  <c r="D1107" i="2"/>
  <c r="D1034" i="2"/>
  <c r="D1035" i="2"/>
  <c r="D1037" i="2"/>
  <c r="D1038" i="2"/>
  <c r="D1039" i="2"/>
  <c r="C1107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085" i="2"/>
  <c r="C1081" i="2"/>
  <c r="C1078" i="2"/>
  <c r="C1075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6" i="2"/>
  <c r="C1077" i="2"/>
  <c r="C1082" i="2"/>
  <c r="C1083" i="2"/>
  <c r="C1084" i="2"/>
  <c r="C1079" i="2"/>
  <c r="C1080" i="2"/>
  <c r="C1086" i="2"/>
  <c r="C1087" i="2"/>
  <c r="C1088" i="2"/>
  <c r="C1089" i="2"/>
  <c r="C1090" i="2"/>
  <c r="C1061" i="2"/>
  <c r="C1057" i="2"/>
  <c r="C1059" i="2"/>
  <c r="C1060" i="2"/>
  <c r="C1058" i="2"/>
  <c r="C1056" i="2"/>
  <c r="C1050" i="2"/>
  <c r="C1052" i="2"/>
  <c r="C1051" i="2"/>
  <c r="C1041" i="2"/>
  <c r="C1049" i="2"/>
  <c r="C1043" i="2"/>
  <c r="C1044" i="2"/>
  <c r="C1045" i="2"/>
  <c r="C1046" i="2"/>
  <c r="C1047" i="2"/>
  <c r="C1048" i="2"/>
  <c r="C1042" i="2"/>
  <c r="C1037" i="2"/>
  <c r="C1038" i="2"/>
  <c r="C1039" i="2"/>
  <c r="C1040" i="2"/>
  <c r="C1034" i="2"/>
  <c r="C1035" i="2"/>
  <c r="C1016" i="2"/>
  <c r="C1017" i="2"/>
  <c r="C1018" i="2"/>
  <c r="C1031" i="2"/>
  <c r="C837" i="2"/>
  <c r="C1011" i="2"/>
  <c r="C1012" i="2"/>
  <c r="C1013" i="2"/>
  <c r="C1014" i="2"/>
  <c r="C1020" i="2"/>
  <c r="C1019" i="2"/>
  <c r="C947" i="2"/>
  <c r="C1021" i="2"/>
  <c r="C1022" i="2"/>
  <c r="C1023" i="2"/>
  <c r="C1024" i="2"/>
  <c r="C1025" i="2"/>
  <c r="C1028" i="2"/>
  <c r="C1029" i="2"/>
  <c r="C1030" i="2"/>
  <c r="C1032" i="2"/>
  <c r="C1033" i="2"/>
  <c r="C1009" i="2"/>
  <c r="C1010" i="2"/>
  <c r="C937" i="2"/>
  <c r="C938" i="2"/>
  <c r="C939" i="2"/>
  <c r="C959" i="2"/>
  <c r="C965" i="2"/>
  <c r="C966" i="2"/>
  <c r="C956" i="2"/>
  <c r="C960" i="2"/>
  <c r="C997" i="2"/>
  <c r="C952" i="2"/>
  <c r="C951" i="2"/>
  <c r="C949" i="2"/>
  <c r="C963" i="2"/>
  <c r="C995" i="2"/>
  <c r="C946" i="2"/>
  <c r="C940" i="2"/>
  <c r="C941" i="2"/>
  <c r="C944" i="2"/>
  <c r="C943" i="2"/>
  <c r="C942" i="2"/>
  <c r="C936" i="2"/>
  <c r="C934" i="2"/>
  <c r="C933" i="2"/>
  <c r="C1000" i="2"/>
  <c r="C1001" i="2"/>
  <c r="C1002" i="2"/>
  <c r="C1004" i="2"/>
  <c r="C1015" i="2"/>
  <c r="C1005" i="2"/>
  <c r="C1006" i="2"/>
  <c r="C1007" i="2"/>
  <c r="C1008" i="2"/>
  <c r="C931" i="2"/>
  <c r="C930" i="2"/>
  <c r="C932" i="2"/>
  <c r="C953" i="2"/>
  <c r="C1003" i="2"/>
  <c r="C998" i="2"/>
  <c r="C999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76" i="2"/>
  <c r="C977" i="2"/>
  <c r="C978" i="2"/>
  <c r="C979" i="2"/>
  <c r="C980" i="2"/>
  <c r="C2" i="2"/>
  <c r="C958" i="2"/>
  <c r="C957" i="2"/>
  <c r="C929" i="2"/>
  <c r="C948" i="2"/>
  <c r="C924" i="2"/>
  <c r="C919" i="2"/>
  <c r="C917" i="2"/>
  <c r="C916" i="2"/>
  <c r="C895" i="2"/>
  <c r="C975" i="2"/>
  <c r="C974" i="2"/>
  <c r="C973" i="2"/>
  <c r="C862" i="2"/>
  <c r="C853" i="2"/>
  <c r="C846" i="2"/>
  <c r="C449" i="2"/>
  <c r="C350" i="2"/>
  <c r="C448" i="2"/>
  <c r="C352" i="2"/>
  <c r="C409" i="2"/>
  <c r="C408" i="2"/>
  <c r="C346" i="2"/>
  <c r="C345" i="2"/>
  <c r="C344" i="2"/>
  <c r="C343" i="2"/>
  <c r="C342" i="2"/>
  <c r="C340" i="2"/>
  <c r="C341" i="2"/>
  <c r="C331" i="2"/>
  <c r="C330" i="2"/>
  <c r="C327" i="2"/>
  <c r="C326" i="2"/>
  <c r="C328" i="2"/>
  <c r="C329" i="2"/>
  <c r="C332" i="2"/>
  <c r="C333" i="2"/>
  <c r="C334" i="2"/>
  <c r="C335" i="2"/>
  <c r="C336" i="2"/>
  <c r="C337" i="2"/>
  <c r="C338" i="2"/>
  <c r="C339" i="2"/>
  <c r="C512" i="2"/>
  <c r="C513" i="2"/>
  <c r="C514" i="2"/>
  <c r="C515" i="2"/>
  <c r="C516" i="2"/>
  <c r="C517" i="2"/>
  <c r="C507" i="2"/>
  <c r="C506" i="2"/>
  <c r="C508" i="2"/>
  <c r="C509" i="2"/>
  <c r="C510" i="2"/>
  <c r="C511" i="2"/>
  <c r="C505" i="2"/>
  <c r="C503" i="2"/>
  <c r="C502" i="2"/>
  <c r="C501" i="2"/>
  <c r="C500" i="2"/>
  <c r="C499" i="2"/>
  <c r="C498" i="2"/>
  <c r="C496" i="2"/>
  <c r="C495" i="2"/>
  <c r="C490" i="2"/>
  <c r="C489" i="2"/>
  <c r="C491" i="2"/>
  <c r="C492" i="2"/>
  <c r="C493" i="2"/>
  <c r="C494" i="2"/>
  <c r="C497" i="2"/>
  <c r="C504" i="2"/>
  <c r="C803" i="2"/>
  <c r="C801" i="2"/>
  <c r="C802" i="2"/>
  <c r="C784" i="2"/>
  <c r="C831" i="2"/>
  <c r="C830" i="2"/>
  <c r="C834" i="2"/>
  <c r="C827" i="2"/>
  <c r="C826" i="2"/>
  <c r="C824" i="2"/>
  <c r="C828" i="2"/>
  <c r="C822" i="2"/>
  <c r="C821" i="2"/>
  <c r="C819" i="2"/>
  <c r="C818" i="2"/>
  <c r="C823" i="2"/>
  <c r="C816" i="2"/>
  <c r="C815" i="2"/>
  <c r="C814" i="2"/>
  <c r="C813" i="2"/>
  <c r="C812" i="2"/>
  <c r="C766" i="2"/>
  <c r="C758" i="2"/>
  <c r="C757" i="2"/>
  <c r="C736" i="2"/>
  <c r="C732" i="2"/>
  <c r="C726" i="2"/>
  <c r="C725" i="2"/>
  <c r="C712" i="2"/>
  <c r="C688" i="2"/>
  <c r="C682" i="2"/>
  <c r="C681" i="2"/>
  <c r="C668" i="2"/>
  <c r="C651" i="2"/>
  <c r="C793" i="2"/>
  <c r="C781" i="2"/>
  <c r="C780" i="2"/>
  <c r="C488" i="2"/>
  <c r="C487" i="2"/>
  <c r="C486" i="2"/>
  <c r="C485" i="2"/>
  <c r="C484" i="2"/>
  <c r="C483" i="2"/>
  <c r="C482" i="2"/>
  <c r="C481" i="2"/>
  <c r="C478" i="2"/>
  <c r="C477" i="2"/>
  <c r="C476" i="2"/>
  <c r="C473" i="2"/>
  <c r="C469" i="2"/>
  <c r="C466" i="2"/>
  <c r="C465" i="2"/>
  <c r="C468" i="2"/>
  <c r="C472" i="2"/>
  <c r="C474" i="2"/>
  <c r="C475" i="2"/>
  <c r="C479" i="2"/>
  <c r="C480" i="2"/>
  <c r="C783" i="2"/>
  <c r="C785" i="2"/>
  <c r="C786" i="2"/>
  <c r="C787" i="2"/>
  <c r="C788" i="2"/>
  <c r="C789" i="2"/>
  <c r="C790" i="2"/>
  <c r="C791" i="2"/>
  <c r="C792" i="2"/>
  <c r="C794" i="2"/>
  <c r="C795" i="2"/>
  <c r="C796" i="2"/>
  <c r="C797" i="2"/>
  <c r="C798" i="2"/>
  <c r="C799" i="2"/>
  <c r="C800" i="2"/>
  <c r="C804" i="2"/>
  <c r="C817" i="2"/>
  <c r="C806" i="2"/>
  <c r="C807" i="2"/>
  <c r="C808" i="2"/>
  <c r="C809" i="2"/>
  <c r="C810" i="2"/>
  <c r="C811" i="2"/>
  <c r="C820" i="2"/>
  <c r="C825" i="2"/>
  <c r="C829" i="2"/>
  <c r="C832" i="2"/>
  <c r="C835" i="2"/>
  <c r="C848" i="2"/>
  <c r="C836" i="2"/>
  <c r="C842" i="2"/>
  <c r="C844" i="2"/>
  <c r="C845" i="2"/>
  <c r="C847" i="2"/>
  <c r="C852" i="2"/>
  <c r="C849" i="2"/>
  <c r="C851" i="2"/>
  <c r="C863" i="2"/>
  <c r="C854" i="2"/>
  <c r="C855" i="2"/>
  <c r="C856" i="2"/>
  <c r="C857" i="2"/>
  <c r="C858" i="2"/>
  <c r="C859" i="2"/>
  <c r="C860" i="2"/>
  <c r="C861" i="2"/>
  <c r="C868" i="2"/>
  <c r="C864" i="2"/>
  <c r="C865" i="2"/>
  <c r="C866" i="2"/>
  <c r="C867" i="2"/>
  <c r="C869" i="2"/>
  <c r="C886" i="2"/>
  <c r="C870" i="2"/>
  <c r="C872" i="2"/>
  <c r="C873" i="2"/>
  <c r="C874" i="2"/>
  <c r="C875" i="2"/>
  <c r="C876" i="2"/>
  <c r="C878" i="2"/>
  <c r="C879" i="2"/>
  <c r="C881" i="2"/>
  <c r="C882" i="2"/>
  <c r="C883" i="2"/>
  <c r="C884" i="2"/>
  <c r="C885" i="2"/>
  <c r="C887" i="2"/>
  <c r="C888" i="2"/>
  <c r="C889" i="2"/>
  <c r="C721" i="2"/>
  <c r="C890" i="2"/>
  <c r="C891" i="2"/>
  <c r="C892" i="2"/>
  <c r="C893" i="2"/>
  <c r="C894" i="2"/>
  <c r="C896" i="2"/>
  <c r="C897" i="2"/>
  <c r="C898" i="2"/>
  <c r="C899" i="2"/>
  <c r="C900" i="2"/>
  <c r="C902" i="2"/>
  <c r="C903" i="2"/>
  <c r="C904" i="2"/>
  <c r="C906" i="2"/>
  <c r="C907" i="2"/>
  <c r="C908" i="2"/>
  <c r="C909" i="2"/>
  <c r="C910" i="2"/>
  <c r="C911" i="2"/>
  <c r="C912" i="2"/>
  <c r="C913" i="2"/>
  <c r="C915" i="2"/>
  <c r="C918" i="2"/>
  <c r="C921" i="2"/>
  <c r="C922" i="2"/>
  <c r="C923" i="2"/>
  <c r="C927" i="2"/>
  <c r="C928" i="2"/>
  <c r="C962" i="2"/>
  <c r="C961" i="2"/>
  <c r="C964" i="2"/>
  <c r="C967" i="2"/>
  <c r="C968" i="2"/>
  <c r="C969" i="2"/>
  <c r="C970" i="2"/>
  <c r="C971" i="2"/>
  <c r="C972" i="2"/>
  <c r="C778" i="2"/>
  <c r="C774" i="2"/>
  <c r="C467" i="2"/>
  <c r="C464" i="2"/>
  <c r="C463" i="2"/>
  <c r="C462" i="2"/>
  <c r="C460" i="2"/>
  <c r="C459" i="2"/>
  <c r="C457" i="2"/>
  <c r="C455" i="2"/>
  <c r="C454" i="2"/>
  <c r="C453" i="2"/>
  <c r="C447" i="2"/>
  <c r="C349" i="2"/>
  <c r="C348" i="2"/>
  <c r="C347" i="2"/>
  <c r="C351" i="2"/>
  <c r="C446" i="2"/>
  <c r="C452" i="2"/>
  <c r="C451" i="2"/>
  <c r="C450" i="2"/>
  <c r="C456" i="2"/>
  <c r="C458" i="2"/>
  <c r="C461" i="2"/>
  <c r="C767" i="2"/>
  <c r="C765" i="2"/>
  <c r="C805" i="2"/>
  <c r="C761" i="2"/>
  <c r="C759" i="2"/>
  <c r="C755" i="2"/>
  <c r="C752" i="2"/>
  <c r="C750" i="2"/>
  <c r="C13" i="10"/>
  <c r="C14" i="10"/>
  <c r="C15" i="10"/>
  <c r="C94" i="10"/>
  <c r="C95" i="10"/>
  <c r="C96" i="10"/>
  <c r="C97" i="10"/>
  <c r="C98" i="10"/>
  <c r="C99" i="10"/>
  <c r="C100" i="10"/>
  <c r="C733" i="2"/>
  <c r="C734" i="2"/>
  <c r="C749" i="2"/>
  <c r="C737" i="2"/>
  <c r="C741" i="2"/>
  <c r="C742" i="2"/>
  <c r="C743" i="2"/>
  <c r="C744" i="2"/>
  <c r="C746" i="2"/>
  <c r="C738" i="2"/>
  <c r="C728" i="2"/>
  <c r="C729" i="2"/>
  <c r="C735" i="2"/>
  <c r="C731" i="2"/>
  <c r="C723" i="2"/>
  <c r="C730" i="2"/>
  <c r="C724" i="2"/>
  <c r="C727" i="2"/>
  <c r="C722" i="2"/>
  <c r="C718" i="2"/>
  <c r="C707" i="2"/>
  <c r="C706" i="2"/>
  <c r="C678" i="2"/>
  <c r="C677" i="2"/>
  <c r="C666" i="2"/>
  <c r="C665" i="2"/>
  <c r="C653" i="2"/>
  <c r="C652" i="2"/>
  <c r="C636" i="2"/>
  <c r="C635" i="2"/>
  <c r="C632" i="2"/>
  <c r="C633" i="2"/>
  <c r="C699" i="2"/>
  <c r="C698" i="2"/>
  <c r="C697" i="2"/>
  <c r="C696" i="2"/>
  <c r="C695" i="2"/>
  <c r="C694" i="2"/>
  <c r="C178" i="10"/>
  <c r="C691" i="2"/>
  <c r="C692" i="2"/>
  <c r="C693" i="2"/>
  <c r="C673" i="2"/>
  <c r="C649" i="2"/>
  <c r="C663" i="2"/>
  <c r="C661" i="2"/>
  <c r="C656" i="2"/>
  <c r="C156" i="10"/>
  <c r="C561" i="2"/>
  <c r="C560" i="2"/>
  <c r="C562" i="2"/>
  <c r="C559" i="2"/>
  <c r="C556" i="2"/>
  <c r="C574" i="2"/>
  <c r="C627" i="2"/>
  <c r="C628" i="2"/>
  <c r="C638" i="2"/>
  <c r="C639" i="2"/>
  <c r="C610" i="2"/>
  <c r="C611" i="2"/>
  <c r="C640" i="2"/>
  <c r="C612" i="2"/>
  <c r="C616" i="2"/>
  <c r="C629" i="2"/>
  <c r="C630" i="2"/>
  <c r="C631" i="2"/>
  <c r="C654" i="2"/>
  <c r="C655" i="2"/>
  <c r="C643" i="2"/>
  <c r="C644" i="2"/>
  <c r="C645" i="2"/>
  <c r="C658" i="2"/>
  <c r="C646" i="2"/>
  <c r="C647" i="2"/>
  <c r="C648" i="2"/>
  <c r="C659" i="2"/>
  <c r="C660" i="2"/>
  <c r="C662" i="2"/>
  <c r="C664" i="2"/>
  <c r="C634" i="2"/>
  <c r="C650" i="2"/>
  <c r="C667" i="2"/>
  <c r="C669" i="2"/>
  <c r="C670" i="2"/>
  <c r="C671" i="2"/>
  <c r="C672" i="2"/>
  <c r="C674" i="2"/>
  <c r="C675" i="2"/>
  <c r="C676" i="2"/>
  <c r="C679" i="2"/>
  <c r="C680" i="2"/>
  <c r="C683" i="2"/>
  <c r="C684" i="2"/>
  <c r="C685" i="2"/>
  <c r="C686" i="2"/>
  <c r="C687" i="2"/>
  <c r="C689" i="2"/>
  <c r="C690" i="2"/>
  <c r="C700" i="2"/>
  <c r="C701" i="2"/>
  <c r="C702" i="2"/>
  <c r="C703" i="2"/>
  <c r="C704" i="2"/>
  <c r="C705" i="2"/>
  <c r="C708" i="2"/>
  <c r="C709" i="2"/>
  <c r="C710" i="2"/>
  <c r="C711" i="2"/>
  <c r="C713" i="2"/>
  <c r="C714" i="2"/>
  <c r="C715" i="2"/>
  <c r="C716" i="2"/>
  <c r="C717" i="2"/>
  <c r="C739" i="2"/>
  <c r="C745" i="2"/>
  <c r="C740" i="2"/>
  <c r="C747" i="2"/>
  <c r="C748" i="2"/>
  <c r="C751" i="2"/>
  <c r="C753" i="2"/>
  <c r="C754" i="2"/>
  <c r="C763" i="2"/>
  <c r="C756" i="2"/>
  <c r="C760" i="2"/>
  <c r="C762" i="2"/>
  <c r="C764" i="2"/>
  <c r="C768" i="2"/>
  <c r="C769" i="2"/>
  <c r="C770" i="2"/>
  <c r="C771" i="2"/>
  <c r="C772" i="2"/>
  <c r="C773" i="2"/>
  <c r="C775" i="2"/>
  <c r="C776" i="2"/>
  <c r="C777" i="2"/>
  <c r="C779" i="2"/>
  <c r="C782" i="2"/>
  <c r="C598" i="2"/>
  <c r="C609" i="2"/>
  <c r="C615" i="2"/>
  <c r="C625" i="2"/>
  <c r="C624" i="2"/>
  <c r="C608" i="2"/>
  <c r="C607" i="2"/>
  <c r="C606" i="2"/>
  <c r="C605" i="2"/>
  <c r="C613" i="2"/>
  <c r="C587" i="2"/>
  <c r="C586" i="2"/>
  <c r="C585" i="2"/>
  <c r="C584" i="2"/>
  <c r="C583" i="2"/>
  <c r="C554" i="2"/>
  <c r="C551" i="2"/>
  <c r="C545" i="2"/>
  <c r="C546" i="2"/>
  <c r="C539" i="2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8" i="10"/>
  <c r="C209" i="10"/>
  <c r="C210" i="10"/>
  <c r="C211" i="10"/>
  <c r="C528" i="2"/>
  <c r="C527" i="2"/>
  <c r="C443" i="2"/>
  <c r="C445" i="2"/>
  <c r="C521" i="2"/>
  <c r="C523" i="2"/>
  <c r="C524" i="2"/>
  <c r="C525" i="2"/>
  <c r="C526" i="2"/>
  <c r="C433" i="2"/>
  <c r="C435" i="2"/>
  <c r="C437" i="2"/>
  <c r="C439" i="2"/>
  <c r="C441" i="2"/>
  <c r="C402" i="2"/>
  <c r="C406" i="2"/>
  <c r="C414" i="2"/>
  <c r="C417" i="2"/>
  <c r="C421" i="2"/>
  <c r="C425" i="2"/>
  <c r="C428" i="2"/>
  <c r="C431" i="2"/>
  <c r="C395" i="2"/>
  <c r="C399" i="2"/>
  <c r="C94" i="2"/>
  <c r="C362" i="2"/>
  <c r="C384" i="2"/>
  <c r="C398" i="2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88" i="10"/>
  <c r="C588" i="2"/>
  <c r="C591" i="2"/>
  <c r="C592" i="2"/>
  <c r="C593" i="2"/>
  <c r="C594" i="2"/>
  <c r="C599" i="2"/>
  <c r="C600" i="2"/>
  <c r="C601" i="2"/>
  <c r="C529" i="2"/>
  <c r="C530" i="2"/>
  <c r="C531" i="2"/>
  <c r="C532" i="2"/>
  <c r="C537" i="2"/>
  <c r="C547" i="2"/>
  <c r="C558" i="2"/>
  <c r="C569" i="2"/>
  <c r="C570" i="2"/>
  <c r="C589" i="2"/>
  <c r="C590" i="2"/>
  <c r="C595" i="2"/>
  <c r="C596" i="2"/>
  <c r="C597" i="2"/>
  <c r="C602" i="2"/>
  <c r="C604" i="2"/>
  <c r="C617" i="2"/>
  <c r="C618" i="2"/>
  <c r="C619" i="2"/>
  <c r="C620" i="2"/>
  <c r="C621" i="2"/>
  <c r="C622" i="2"/>
  <c r="C623" i="2"/>
  <c r="C626" i="2"/>
  <c r="C614" i="2"/>
  <c r="C637" i="2"/>
  <c r="C35" i="2"/>
  <c r="C533" i="2"/>
  <c r="C538" i="2"/>
  <c r="C534" i="2"/>
  <c r="C540" i="2"/>
  <c r="C541" i="2"/>
  <c r="C542" i="2"/>
  <c r="C543" i="2"/>
  <c r="C544" i="2"/>
  <c r="C535" i="2"/>
  <c r="C536" i="2"/>
  <c r="C549" i="2"/>
  <c r="C550" i="2"/>
  <c r="C553" i="2"/>
  <c r="C555" i="2"/>
  <c r="C563" i="2"/>
  <c r="C564" i="2"/>
  <c r="C565" i="2"/>
  <c r="C566" i="2"/>
  <c r="C571" i="2"/>
  <c r="C572" i="2"/>
  <c r="C573" i="2"/>
  <c r="C575" i="2"/>
  <c r="C576" i="2"/>
  <c r="C557" i="2"/>
  <c r="C567" i="2"/>
  <c r="C568" i="2"/>
  <c r="C577" i="2"/>
  <c r="C578" i="2"/>
  <c r="C579" i="2"/>
  <c r="C580" i="2"/>
  <c r="C581" i="2"/>
  <c r="C582" i="2"/>
  <c r="C548" i="2"/>
  <c r="C300" i="2"/>
  <c r="C430" i="2"/>
  <c r="C427" i="2"/>
  <c r="C424" i="2"/>
  <c r="C420" i="2"/>
  <c r="C416" i="2"/>
  <c r="C371" i="2"/>
  <c r="C368" i="2"/>
  <c r="C365" i="2"/>
  <c r="C361" i="2"/>
  <c r="C357" i="2"/>
  <c r="C354" i="2"/>
  <c r="C295" i="2"/>
  <c r="C290" i="2"/>
  <c r="C284" i="2"/>
  <c r="C283" i="2"/>
  <c r="C282" i="2"/>
  <c r="C276" i="2"/>
  <c r="C275" i="2"/>
  <c r="C274" i="2"/>
  <c r="C268" i="2"/>
  <c r="C267" i="2"/>
  <c r="C266" i="2"/>
  <c r="C260" i="2"/>
  <c r="C259" i="2"/>
  <c r="C258" i="2"/>
  <c r="C250" i="2"/>
  <c r="C249" i="2"/>
  <c r="C248" i="2"/>
  <c r="C239" i="2"/>
  <c r="C238" i="2"/>
  <c r="C237" i="2"/>
  <c r="C325" i="2"/>
  <c r="C208" i="2"/>
  <c r="C201" i="2"/>
  <c r="C252" i="2"/>
  <c r="C251" i="2"/>
  <c r="C242" i="2"/>
  <c r="C241" i="2"/>
  <c r="C240" i="2"/>
  <c r="C413" i="2"/>
  <c r="C412" i="2"/>
  <c r="C411" i="2"/>
  <c r="C410" i="2"/>
  <c r="C471" i="2"/>
  <c r="C470" i="2"/>
  <c r="C407" i="2"/>
  <c r="C404" i="2"/>
  <c r="C405" i="2"/>
  <c r="C403" i="2"/>
  <c r="C401" i="2"/>
  <c r="C400" i="2"/>
  <c r="C397" i="2"/>
  <c r="C396" i="2"/>
  <c r="C394" i="2"/>
  <c r="C393" i="2"/>
  <c r="C392" i="2"/>
  <c r="C391" i="2"/>
  <c r="C390" i="2"/>
  <c r="C389" i="2"/>
  <c r="C388" i="2"/>
  <c r="C387" i="2"/>
  <c r="C386" i="2"/>
  <c r="C385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0" i="2"/>
  <c r="C369" i="2"/>
  <c r="C367" i="2"/>
  <c r="C366" i="2"/>
  <c r="C364" i="2"/>
  <c r="C360" i="2"/>
  <c r="C363" i="2"/>
  <c r="C359" i="2"/>
  <c r="C358" i="2"/>
  <c r="C356" i="2"/>
  <c r="C353" i="2"/>
  <c r="C324" i="2"/>
  <c r="C321" i="2"/>
  <c r="C317" i="2"/>
  <c r="C313" i="2"/>
  <c r="C309" i="2"/>
  <c r="C305" i="2"/>
  <c r="C299" i="2"/>
  <c r="C294" i="2"/>
  <c r="C289" i="2"/>
  <c r="C281" i="2"/>
  <c r="C273" i="2"/>
  <c r="C153" i="2"/>
  <c r="C144" i="2"/>
  <c r="C135" i="2"/>
  <c r="C128" i="2"/>
  <c r="C121" i="2"/>
  <c r="C114" i="2"/>
  <c r="C107" i="2"/>
  <c r="C100" i="2"/>
  <c r="C93" i="2"/>
  <c r="C84" i="2"/>
  <c r="C69" i="2"/>
  <c r="C63" i="2"/>
  <c r="C58" i="2"/>
  <c r="C53" i="2"/>
  <c r="C47" i="2"/>
  <c r="C40" i="2"/>
  <c r="C34" i="2"/>
  <c r="C29" i="2"/>
  <c r="C24" i="2"/>
  <c r="C19" i="2"/>
  <c r="C161" i="2"/>
  <c r="C92" i="2"/>
  <c r="C83" i="2"/>
  <c r="C75" i="2"/>
  <c r="C162" i="2"/>
  <c r="C166" i="2"/>
  <c r="C176" i="2"/>
  <c r="C183" i="2"/>
  <c r="C190" i="2"/>
  <c r="C200" i="2"/>
  <c r="C207" i="2"/>
  <c r="C215" i="2"/>
  <c r="C222" i="2"/>
  <c r="C230" i="2"/>
  <c r="C236" i="2"/>
  <c r="C247" i="2"/>
  <c r="C257" i="2"/>
  <c r="C265" i="2"/>
  <c r="C72" i="2"/>
  <c r="C355" i="2"/>
  <c r="C320" i="2"/>
  <c r="C316" i="2"/>
  <c r="C312" i="2"/>
  <c r="C308" i="2"/>
  <c r="C304" i="2"/>
  <c r="C89" i="10"/>
  <c r="C90" i="10"/>
  <c r="C91" i="10"/>
  <c r="C92" i="10"/>
  <c r="C93" i="10"/>
  <c r="C101" i="10"/>
  <c r="C102" i="10"/>
  <c r="C103" i="10"/>
  <c r="C104" i="10"/>
  <c r="C105" i="10"/>
  <c r="C106" i="10"/>
  <c r="C107" i="10"/>
  <c r="C108" i="10"/>
  <c r="C109" i="10"/>
  <c r="C80" i="10"/>
  <c r="C81" i="10"/>
  <c r="C82" i="10"/>
  <c r="C83" i="10"/>
  <c r="C84" i="10"/>
  <c r="C85" i="10"/>
  <c r="C86" i="10"/>
  <c r="C87" i="10"/>
  <c r="C323" i="2"/>
  <c r="C319" i="2"/>
  <c r="C315" i="2"/>
  <c r="C311" i="2"/>
  <c r="C307" i="2"/>
  <c r="C303" i="2"/>
  <c r="C302" i="2"/>
  <c r="C298" i="2"/>
  <c r="C297" i="2"/>
  <c r="C293" i="2"/>
  <c r="C292" i="2"/>
  <c r="C288" i="2"/>
  <c r="C287" i="2"/>
  <c r="C280" i="2"/>
  <c r="C279" i="2"/>
  <c r="C272" i="2"/>
  <c r="C271" i="2"/>
  <c r="C264" i="2"/>
  <c r="C263" i="2"/>
  <c r="C256" i="2"/>
  <c r="C255" i="2"/>
  <c r="C246" i="2"/>
  <c r="C245" i="2"/>
  <c r="C235" i="2"/>
  <c r="C234" i="2"/>
  <c r="C233" i="2"/>
  <c r="C229" i="2"/>
  <c r="C228" i="2"/>
  <c r="C221" i="2"/>
  <c r="C220" i="2"/>
  <c r="C214" i="2"/>
  <c r="C213" i="2"/>
  <c r="C206" i="2"/>
  <c r="C205" i="2"/>
  <c r="C199" i="2"/>
  <c r="C198" i="2"/>
  <c r="C189" i="2"/>
  <c r="C188" i="2"/>
  <c r="C182" i="2"/>
  <c r="C181" i="2"/>
  <c r="C175" i="2"/>
  <c r="C174" i="2"/>
  <c r="C165" i="2"/>
  <c r="C164" i="2"/>
  <c r="C160" i="2"/>
  <c r="C159" i="2"/>
  <c r="C152" i="2"/>
  <c r="C151" i="2"/>
  <c r="C143" i="2"/>
  <c r="C142" i="2"/>
  <c r="C141" i="2"/>
  <c r="C134" i="2"/>
  <c r="C133" i="2"/>
  <c r="C132" i="2"/>
  <c r="C127" i="2"/>
  <c r="C126" i="2"/>
  <c r="C125" i="2"/>
  <c r="C120" i="2"/>
  <c r="C119" i="2"/>
  <c r="C118" i="2"/>
  <c r="C113" i="2"/>
  <c r="C112" i="2"/>
  <c r="C111" i="2"/>
  <c r="C106" i="2"/>
  <c r="C105" i="2"/>
  <c r="C104" i="2"/>
  <c r="C99" i="2"/>
  <c r="C98" i="2"/>
  <c r="C97" i="2"/>
  <c r="C91" i="2"/>
  <c r="C90" i="2"/>
  <c r="C89" i="2"/>
  <c r="C82" i="2"/>
  <c r="C81" i="2"/>
  <c r="C80" i="2"/>
  <c r="C68" i="2"/>
  <c r="C67" i="2"/>
  <c r="C66" i="2"/>
  <c r="C62" i="2"/>
  <c r="C61" i="2"/>
  <c r="C60" i="2"/>
  <c r="C57" i="2"/>
  <c r="C56" i="2"/>
  <c r="C55" i="2"/>
  <c r="C52" i="2"/>
  <c r="C51" i="2"/>
  <c r="C50" i="2"/>
  <c r="C46" i="2"/>
  <c r="C45" i="2"/>
  <c r="C44" i="2"/>
  <c r="C39" i="2"/>
  <c r="C38" i="2"/>
  <c r="C37" i="2"/>
  <c r="C33" i="2"/>
  <c r="C32" i="2"/>
  <c r="C31" i="2"/>
  <c r="C28" i="2"/>
  <c r="C27" i="2"/>
  <c r="C26" i="2"/>
  <c r="C23" i="2"/>
  <c r="C22" i="2"/>
  <c r="C21" i="2"/>
  <c r="C18" i="2"/>
  <c r="C17" i="2"/>
  <c r="C16" i="2"/>
  <c r="C14" i="2"/>
  <c r="C13" i="2"/>
  <c r="C12" i="2"/>
  <c r="C10" i="2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46" i="10"/>
  <c r="C173" i="2"/>
  <c r="C45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156" i="2"/>
  <c r="C157" i="2"/>
  <c r="C163" i="2"/>
  <c r="C191" i="2"/>
  <c r="C192" i="2"/>
  <c r="C193" i="2"/>
  <c r="C197" i="2"/>
  <c r="C42" i="2"/>
  <c r="C43" i="2"/>
  <c r="C49" i="2"/>
  <c r="C65" i="2"/>
  <c r="C70" i="2"/>
  <c r="C71" i="2"/>
  <c r="C73" i="2"/>
  <c r="C74" i="2"/>
  <c r="C78" i="2"/>
  <c r="C79" i="2"/>
  <c r="C87" i="2"/>
  <c r="C88" i="2"/>
  <c r="C140" i="2"/>
  <c r="C150" i="2"/>
  <c r="C3" i="2"/>
  <c r="C4" i="2"/>
  <c r="C158" i="2"/>
  <c r="C9" i="2"/>
  <c r="C170" i="2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155" i="2"/>
  <c r="C171" i="2"/>
  <c r="C172" i="2"/>
  <c r="C180" i="2"/>
  <c r="C187" i="2"/>
  <c r="C149" i="2"/>
  <c r="C20" i="10"/>
  <c r="C21" i="10"/>
  <c r="C22" i="10"/>
  <c r="C23" i="10"/>
  <c r="C24" i="10"/>
  <c r="C25" i="10"/>
  <c r="C26" i="10"/>
  <c r="C27" i="10"/>
  <c r="C28" i="10"/>
  <c r="C29" i="10"/>
  <c r="C310" i="2"/>
  <c r="C314" i="2"/>
  <c r="C318" i="2"/>
  <c r="C322" i="2"/>
  <c r="C212" i="2"/>
  <c r="C219" i="2"/>
  <c r="C226" i="2"/>
  <c r="C227" i="2"/>
  <c r="C139" i="2"/>
  <c r="C148" i="2"/>
  <c r="C154" i="2"/>
  <c r="C278" i="2"/>
  <c r="C285" i="2"/>
  <c r="C286" i="2"/>
  <c r="C291" i="2"/>
  <c r="C296" i="2"/>
  <c r="C301" i="2"/>
  <c r="C306" i="2"/>
  <c r="C103" i="2"/>
  <c r="C110" i="2"/>
  <c r="C224" i="2"/>
  <c r="C225" i="2"/>
  <c r="C231" i="2"/>
  <c r="C232" i="2"/>
  <c r="C243" i="2"/>
  <c r="C244" i="2"/>
  <c r="C253" i="2"/>
  <c r="C254" i="2"/>
  <c r="C261" i="2"/>
  <c r="C262" i="2"/>
  <c r="C269" i="2"/>
  <c r="C270" i="2"/>
  <c r="C277" i="2"/>
  <c r="C179" i="2"/>
  <c r="C184" i="2"/>
  <c r="C185" i="2"/>
  <c r="C186" i="2"/>
  <c r="C194" i="2"/>
  <c r="C195" i="2"/>
  <c r="C196" i="2"/>
  <c r="C202" i="2"/>
  <c r="C203" i="2"/>
  <c r="C204" i="2"/>
  <c r="C209" i="2"/>
  <c r="C210" i="2"/>
  <c r="C211" i="2"/>
  <c r="C216" i="2"/>
  <c r="C217" i="2"/>
  <c r="C218" i="2"/>
  <c r="C223" i="2"/>
  <c r="C115" i="2"/>
  <c r="C116" i="2"/>
  <c r="C117" i="2"/>
  <c r="C122" i="2"/>
  <c r="C123" i="2"/>
  <c r="C124" i="2"/>
  <c r="C129" i="2"/>
  <c r="C130" i="2"/>
  <c r="C131" i="2"/>
  <c r="C136" i="2"/>
  <c r="C137" i="2"/>
  <c r="C138" i="2"/>
  <c r="C145" i="2"/>
  <c r="C146" i="2"/>
  <c r="C147" i="2"/>
  <c r="C167" i="2"/>
  <c r="C168" i="2"/>
  <c r="C169" i="2"/>
  <c r="C177" i="2"/>
  <c r="C178" i="2"/>
  <c r="C30" i="2"/>
  <c r="C25" i="2"/>
  <c r="C36" i="2"/>
  <c r="C41" i="2"/>
  <c r="C48" i="2"/>
  <c r="C54" i="2"/>
  <c r="C59" i="2"/>
  <c r="C64" i="2"/>
  <c r="C76" i="2"/>
  <c r="C77" i="2"/>
  <c r="C85" i="2"/>
  <c r="C86" i="2"/>
  <c r="C95" i="2"/>
  <c r="C96" i="2"/>
  <c r="C101" i="2"/>
  <c r="C102" i="2"/>
  <c r="C108" i="2"/>
  <c r="C109" i="2"/>
  <c r="C5" i="2"/>
  <c r="C6" i="2"/>
  <c r="C7" i="2"/>
  <c r="C8" i="2"/>
  <c r="C11" i="2"/>
  <c r="C15" i="2"/>
  <c r="C20" i="2"/>
  <c r="C16" i="10"/>
  <c r="C17" i="10"/>
  <c r="C18" i="10"/>
  <c r="C12" i="10"/>
  <c r="C444" i="2"/>
  <c r="C518" i="2"/>
  <c r="C519" i="2"/>
  <c r="C520" i="2"/>
  <c r="C522" i="2"/>
  <c r="C429" i="2"/>
  <c r="C432" i="2"/>
  <c r="C434" i="2"/>
  <c r="C436" i="2"/>
  <c r="C438" i="2"/>
  <c r="C440" i="2"/>
  <c r="C442" i="2"/>
  <c r="C419" i="2"/>
  <c r="C418" i="2"/>
  <c r="C422" i="2"/>
  <c r="C423" i="2"/>
  <c r="C426" i="2"/>
  <c r="C415" i="2"/>
  <c r="C3" i="10"/>
  <c r="C4" i="10"/>
  <c r="C5" i="10"/>
  <c r="C6" i="10"/>
  <c r="C7" i="10"/>
  <c r="C8" i="10"/>
  <c r="C9" i="10"/>
  <c r="C10" i="10"/>
  <c r="C11" i="10"/>
  <c r="C19" i="10"/>
</calcChain>
</file>

<file path=xl/sharedStrings.xml><?xml version="1.0" encoding="utf-8"?>
<sst xmlns="http://schemas.openxmlformats.org/spreadsheetml/2006/main" count="12163" uniqueCount="1180">
  <si>
    <t>Nome do Projeto</t>
  </si>
  <si>
    <t>COD Projeto</t>
  </si>
  <si>
    <t>coluna teste</t>
  </si>
  <si>
    <t>Atividades Macro</t>
  </si>
  <si>
    <t>Tarefa</t>
  </si>
  <si>
    <t>Responsável pela Atividade</t>
  </si>
  <si>
    <t>Data da Atividade</t>
  </si>
  <si>
    <t>Horas Utilizadas</t>
  </si>
  <si>
    <t xml:space="preserve">Status </t>
  </si>
  <si>
    <t>Observação</t>
  </si>
  <si>
    <t>Perfil dos Municípios</t>
  </si>
  <si>
    <t>Planejamento do Projeto</t>
  </si>
  <si>
    <t>Análise e Levantamento  das Informações</t>
  </si>
  <si>
    <t>Luis Eduardo</t>
  </si>
  <si>
    <t>Finalizado</t>
  </si>
  <si>
    <t>Relatório de Sustentabilidade - IEL</t>
  </si>
  <si>
    <t>Reunião</t>
  </si>
  <si>
    <t>Alinhamento de Informações</t>
  </si>
  <si>
    <t>Sandra Marcia</t>
  </si>
  <si>
    <t>Ely Bastos</t>
  </si>
  <si>
    <t>Diego Gomes</t>
  </si>
  <si>
    <t>Estruturação do Projeto</t>
  </si>
  <si>
    <t>Documentação dos indicadores</t>
  </si>
  <si>
    <t>Relatório</t>
  </si>
  <si>
    <t>Elaboração do relatório</t>
  </si>
  <si>
    <t>Validação</t>
  </si>
  <si>
    <t>Extração de Dados</t>
  </si>
  <si>
    <t>Extração do Banco conforme Documentação</t>
  </si>
  <si>
    <t>Marcus Vinícius</t>
  </si>
  <si>
    <t>Extração de informações para relatório</t>
  </si>
  <si>
    <t>Livro IFC</t>
  </si>
  <si>
    <t>Tratamento de Dados</t>
  </si>
  <si>
    <t>Tratamento do Banco de Dados</t>
  </si>
  <si>
    <t>Implantação Amazon</t>
  </si>
  <si>
    <t>Alexandre Borges</t>
  </si>
  <si>
    <t>Apresentação Descarbonização da Mineração</t>
  </si>
  <si>
    <t>Reunião para Apresentação do Projeto</t>
  </si>
  <si>
    <t>Estudo e Análise do Projeto</t>
  </si>
  <si>
    <t>Construção da Apresentação</t>
  </si>
  <si>
    <t>Tratamento e Armazenamento do banco</t>
  </si>
  <si>
    <t>Painel</t>
  </si>
  <si>
    <t>Elaboraçâo do Painel</t>
  </si>
  <si>
    <t>Rodolfo Viscal</t>
  </si>
  <si>
    <t>Validação Lista de Empresas - DAIA</t>
  </si>
  <si>
    <t xml:space="preserve">Reunião de Alinhamento </t>
  </si>
  <si>
    <t>Leitura e Validação do Relatório</t>
  </si>
  <si>
    <t>Extração da Nova Base</t>
  </si>
  <si>
    <t>Relatório Sindmóveis</t>
  </si>
  <si>
    <t>Reunião com Presidente do Sindicato</t>
  </si>
  <si>
    <t>Alteração/Ajustes</t>
  </si>
  <si>
    <t>Correção do Relatório</t>
  </si>
  <si>
    <t>Tratamento da Base</t>
  </si>
  <si>
    <t>Validação  da Base</t>
  </si>
  <si>
    <t>Extração da Base</t>
  </si>
  <si>
    <t>Tratamento e Validação dos dados</t>
  </si>
  <si>
    <t>Elaboração do Relatório</t>
  </si>
  <si>
    <t>Relatório Rotatividade Farmoquímico</t>
  </si>
  <si>
    <t>Extração da Base para Estudo</t>
  </si>
  <si>
    <t>Tratamento e Análise dos Dados para Relatório</t>
  </si>
  <si>
    <t>Correções e validação do documento</t>
  </si>
  <si>
    <t>Lista de Empresas Confecção</t>
  </si>
  <si>
    <t>Atualização e Melhoria do IFC</t>
  </si>
  <si>
    <t>Tratamento do Banco para Utilização</t>
  </si>
  <si>
    <t>Atualização da Base de Dados FIEG</t>
  </si>
  <si>
    <t>Bruno Felipe</t>
  </si>
  <si>
    <t>Identificação de Indicadores</t>
  </si>
  <si>
    <t>Paulo Vinicius</t>
  </si>
  <si>
    <t>Extração do Banco de Dados</t>
  </si>
  <si>
    <t xml:space="preserve">Tratamento de dados </t>
  </si>
  <si>
    <t>Correções</t>
  </si>
  <si>
    <t>Validação do Painel</t>
  </si>
  <si>
    <t>Construção do Painel</t>
  </si>
  <si>
    <t>Estudo de Microregiões - Ceres</t>
  </si>
  <si>
    <t>Reunião de Alinhamento do Projeto</t>
  </si>
  <si>
    <t>Planejameno do projeto</t>
  </si>
  <si>
    <t>Identificação dos indicadores para o projeto</t>
  </si>
  <si>
    <t>Extração do banco para o projeto</t>
  </si>
  <si>
    <t>Tratamento do banco de dados</t>
  </si>
  <si>
    <t>Marketshare Estágio</t>
  </si>
  <si>
    <t>Estruturação do banco de dados e etapas</t>
  </si>
  <si>
    <t xml:space="preserve">Validação do Relatório </t>
  </si>
  <si>
    <t>Tratamento do Banco</t>
  </si>
  <si>
    <t>Estudo da infraestrutura</t>
  </si>
  <si>
    <t>Correção de Dados</t>
  </si>
  <si>
    <t>Alinhamento</t>
  </si>
  <si>
    <t>Atualização de Painel - Educação</t>
  </si>
  <si>
    <t>Análise detalhada do painel para levantamento dos requisitos</t>
  </si>
  <si>
    <t>Elaboração do Caderno para Publicação</t>
  </si>
  <si>
    <t>Extração do banco atualizado</t>
  </si>
  <si>
    <t>Importação de Tabelas</t>
  </si>
  <si>
    <t>Análise de Dados junto com a Documentação</t>
  </si>
  <si>
    <t>Cálculos e Análise dos Indicadores</t>
  </si>
  <si>
    <t>Desenvolvimento de Painel</t>
  </si>
  <si>
    <t>Realizando simulações de extrações</t>
  </si>
  <si>
    <t>Identificação dos Campos e dados extraidos</t>
  </si>
  <si>
    <t>Extração de informações do SNE</t>
  </si>
  <si>
    <t>Relatório do Projeto</t>
  </si>
  <si>
    <t>Construção do Painel do Estágio</t>
  </si>
  <si>
    <t>Correções e Validações</t>
  </si>
  <si>
    <t>Painel Marketshare - Estágio</t>
  </si>
  <si>
    <t>Estruturação das estapas do projeto</t>
  </si>
  <si>
    <t>Extração do banco de dados para o painel</t>
  </si>
  <si>
    <t xml:space="preserve">Elaboração do Painel </t>
  </si>
  <si>
    <t>Ajustes e correções no painel</t>
  </si>
  <si>
    <t>Painel de Clientes</t>
  </si>
  <si>
    <t>Planejamento e definição de atividades</t>
  </si>
  <si>
    <t>Identificação dos indicadores usados no Painel</t>
  </si>
  <si>
    <t>Tratamento de informações para o painel</t>
  </si>
  <si>
    <t>Relatório de Atividades do Projetos</t>
  </si>
  <si>
    <t>Newsletter  PIM-PF</t>
  </si>
  <si>
    <t>Planejamento das  Atividades</t>
  </si>
  <si>
    <t>Indentificação das informações para o relatório</t>
  </si>
  <si>
    <t>Tratamento das informações para construção do documento</t>
  </si>
  <si>
    <t>Correções e Ajustes no Projeto</t>
  </si>
  <si>
    <t>Análise e Validação do Painel</t>
  </si>
  <si>
    <t>Ajustes no Painel</t>
  </si>
  <si>
    <t>Publicação</t>
  </si>
  <si>
    <t>Realizando tratamento de dados usando infra AWS</t>
  </si>
  <si>
    <t>Panorama Econômico</t>
  </si>
  <si>
    <t>Atualização</t>
  </si>
  <si>
    <t>Atualização Panorama</t>
  </si>
  <si>
    <t>API atualizadas</t>
  </si>
  <si>
    <t>Banco de Dados Mineração</t>
  </si>
  <si>
    <t>Desenvolvimento dos scripts de extração</t>
  </si>
  <si>
    <t>Avaliando politicas de acesso</t>
  </si>
  <si>
    <t>Painel Marketshare - Aprendiz</t>
  </si>
  <si>
    <t>Alteração e Ajuste</t>
  </si>
  <si>
    <t>Curso para entendimento do AWS Glue na SkillBuilder Amazon</t>
  </si>
  <si>
    <t>Painel de Gestão</t>
  </si>
  <si>
    <t>Acompanhamento e Preenchimento dos Projetos Iniciais</t>
  </si>
  <si>
    <t>Testes de extração</t>
  </si>
  <si>
    <t>Reunião de Alinhamentos e ajustes do projeto IFC</t>
  </si>
  <si>
    <t>Realizamos uma reunião para entendermos onde estavamos no projeto, devido a multiplas paradas na execução para realização de outros, nos situamos quanto ao que já tinha sido realizado, o que deveria ser alterado, além de ações futuras no projeto, discutimos prolixidades e redundancias dos textos além de formas de vizualização e disposição do conteúdo que estamos elaborando. As ações de reunião neste projeto serão constantes, visto a necessidade de alinhamento</t>
  </si>
  <si>
    <t xml:space="preserve">Escrita de textos do livro IFC </t>
  </si>
  <si>
    <t>Aprovação com o Diego</t>
  </si>
  <si>
    <t>Incluindo tabelas de Apoio</t>
  </si>
  <si>
    <t>Atualização Painel Mercado</t>
  </si>
  <si>
    <t>Ajuste na tabela d 0 E</t>
  </si>
  <si>
    <t>Projetos e Atividades Internas</t>
  </si>
  <si>
    <t>Reunião para alinhamento</t>
  </si>
  <si>
    <t>Projeto Agrodefesa</t>
  </si>
  <si>
    <t>Solicitação de Informações para definição da amostra</t>
  </si>
  <si>
    <t>Envio par análise da Gerência e posterimente envio para o cliente.</t>
  </si>
  <si>
    <t>Estudos de Concorrentes RPA</t>
  </si>
  <si>
    <t>Pesquisa</t>
  </si>
  <si>
    <t>Mapeamento dos concorrentes dos clientes RPA</t>
  </si>
  <si>
    <t>Iniciativas de Mercados - CMs</t>
  </si>
  <si>
    <t>planejamento de execução de cada um dos CMs</t>
  </si>
  <si>
    <t>Ajustes na tabela entregue, vendido e na aba Analytics</t>
  </si>
  <si>
    <t>Inserindo tabelas de Apoio (Municipio, CNAE, CBO, CID)</t>
  </si>
  <si>
    <t>Atualização Painel Saúde</t>
  </si>
  <si>
    <t>Estudos da Base com desenvolvimento dos indicadores</t>
  </si>
  <si>
    <t>Problemas de conflitos com bases não conversando uma com a outra</t>
  </si>
  <si>
    <t>Proposta / Contrato</t>
  </si>
  <si>
    <t>Estruturação da Proposta Unimed Cerrado</t>
  </si>
  <si>
    <t>Alteração nos scripts e novos testes</t>
  </si>
  <si>
    <t>PDE - Serra Verde</t>
  </si>
  <si>
    <t>Reunião sobre manual PDE</t>
  </si>
  <si>
    <t>Coleta</t>
  </si>
  <si>
    <t>Lista de prospecção</t>
  </si>
  <si>
    <t>atividades do colaboradores com a base</t>
  </si>
  <si>
    <t>Criando Views do CAGED para alimentar PowerBI</t>
  </si>
  <si>
    <t>Parado</t>
  </si>
  <si>
    <t>Problemas na tabela A 1 F durante a atualização diária</t>
  </si>
  <si>
    <t>Reunião de apresentação da Proposta Unimed</t>
  </si>
  <si>
    <t>Correção e Ajustes na Proposta Unimed</t>
  </si>
  <si>
    <t>Atualização dos dados</t>
  </si>
  <si>
    <t>Remoção de outliers</t>
  </si>
  <si>
    <t>Criando tabelas do CAGED para importação no PowerBI</t>
  </si>
  <si>
    <t>Testes de Conexão com AWS e Power Bi</t>
  </si>
  <si>
    <t xml:space="preserve">Ajustes na Planilha de lançamento </t>
  </si>
  <si>
    <t>Reestruturação do painel</t>
  </si>
  <si>
    <t>Reunião de Alinhamento</t>
  </si>
  <si>
    <t>Reunião Diária - Alinhamento de Demanda</t>
  </si>
  <si>
    <t>Fernanda Heleno</t>
  </si>
  <si>
    <t>Correção e Adição de atividades do projeto</t>
  </si>
  <si>
    <t>Observatório Nacional</t>
  </si>
  <si>
    <t>Reunião Pós Assessment</t>
  </si>
  <si>
    <t>Isadora Pereira</t>
  </si>
  <si>
    <t>Preparando ambiente de desenvolvimento para type</t>
  </si>
  <si>
    <t>Desenvovlimento de novos scripts</t>
  </si>
  <si>
    <t>Extrair informações do SNE referente a idade, n° tce, data de inicio e termino de 2021 ate a data atual</t>
  </si>
  <si>
    <t>Extração de informações de Admitidos e Desligados por UF e média salarial dos admitidos por uf</t>
  </si>
  <si>
    <t>Tempo elevado devido a complexidade em extrair alguns dados. Proximas demandas deverão ser mais rapidas pois os scripts já estão pre moldados.</t>
  </si>
  <si>
    <t>Reavaliação do painel</t>
  </si>
  <si>
    <t>Reavaliação dos cálculos</t>
  </si>
  <si>
    <t>Testes e validação dos dados</t>
  </si>
  <si>
    <t>Correções e ajustes nas propostas Hospitais</t>
  </si>
  <si>
    <t>Alteração de formatos de arquivos da Serra Verde, alinhamento de materiais e conteudos para o projeto</t>
  </si>
  <si>
    <t>Continuação da Pagina de Colaboradores</t>
  </si>
  <si>
    <t>Configurando consultas de extração de Admitidos e Desligados do CAGED</t>
  </si>
  <si>
    <t>Teste de conexão com DirectQuery</t>
  </si>
  <si>
    <t>Treinamentos e Capacitações</t>
  </si>
  <si>
    <t>Capacitação</t>
  </si>
  <si>
    <t>AI-900:Microsoft Azure AI Fundamentals</t>
  </si>
  <si>
    <t>Painel Institucional - Superintendência</t>
  </si>
  <si>
    <t>Alteração de código para o ano de 2024 e de fonte</t>
  </si>
  <si>
    <t>Ajustando valores do funil entregue antes de atualizar</t>
  </si>
  <si>
    <t xml:space="preserve">Reavaliação dos cálculos da estimativa </t>
  </si>
  <si>
    <t xml:space="preserve">Alinhamento de Atividades </t>
  </si>
  <si>
    <t>Ajuste e  Validação da Proposta Redehemo</t>
  </si>
  <si>
    <t>Criando Fluxo para ativação dos scripts de extração da ANM</t>
  </si>
  <si>
    <t>Analisando detalhes para divulgação da atualização do  PIM-PF Mensal</t>
  </si>
  <si>
    <t>Manutenção dos scripts que ocorreram erros</t>
  </si>
  <si>
    <t>Criando tabelas de de apoio no banco refined</t>
  </si>
  <si>
    <t>Pré-projeto Monitora Linkedin</t>
  </si>
  <si>
    <t>Estruturação</t>
  </si>
  <si>
    <t>Realizando tratamento das tabelas da RAIS</t>
  </si>
  <si>
    <t>Incluindo informações de PIB no banco do IFC</t>
  </si>
  <si>
    <t>Ajuste medida</t>
  </si>
  <si>
    <t>Criação do projeto e possíveis iniciativas</t>
  </si>
  <si>
    <t>Problema na coluna realizado do analytics</t>
  </si>
  <si>
    <t>Ajuste de cores, e mudança de layout</t>
  </si>
  <si>
    <t>Reunião sobre ajustes para automatizar Painel Mercado</t>
  </si>
  <si>
    <t>Elaboração das propostas e Custos - Pesquisa de Opinião Academia</t>
  </si>
  <si>
    <t>Elaboração das propostas e Custos - Agrodefesa</t>
  </si>
  <si>
    <t>Ajustes e correções da planilha para os colaboradores</t>
  </si>
  <si>
    <t>Atualização do Panorama</t>
  </si>
  <si>
    <t>Ajustes do banco de dados</t>
  </si>
  <si>
    <t>Configurando Máquina devido a troca do acesso corporativo</t>
  </si>
  <si>
    <t>Reunião com os Gestores para definição das novas ações</t>
  </si>
  <si>
    <t>Coleta de informações nas entrevistas com o pessoal</t>
  </si>
  <si>
    <t>Extraindo informação da rede e analisando para o relatório</t>
  </si>
  <si>
    <t>Criação perfil para Power Bi com Novas cores do IEL</t>
  </si>
  <si>
    <t>Extração de dados da Indústria de Quirinópolis na base da Receita Federal e de Goiás do CAGED e RAIS</t>
  </si>
  <si>
    <t>Ajustes em formulas e visuais, correção de problemas casuais</t>
  </si>
  <si>
    <t xml:space="preserve">desenvolvimento de visuais ecalculos </t>
  </si>
  <si>
    <t>Testes de extração e validação dos dados</t>
  </si>
  <si>
    <t>Análise do painel para fazer ajustes para a entrega final</t>
  </si>
  <si>
    <t>Tratamento de dados da Indústria de Quirinópolis na base da Receita Federal e de Goiás do CAGED e RAIS</t>
  </si>
  <si>
    <t>Ajustes formato dos relatórios</t>
  </si>
  <si>
    <t>Painel Utilidades - Mercado</t>
  </si>
  <si>
    <t>medidas</t>
  </si>
  <si>
    <t>Reavaliação do projeto para excel</t>
  </si>
  <si>
    <t>Reavaliação do visual</t>
  </si>
  <si>
    <t>Testes e correções das pipelines de extração</t>
  </si>
  <si>
    <t>Estudos de Novos Visuais, da Nova atualização Power Bi</t>
  </si>
  <si>
    <t>Desenvolvimento do painel Pagina Estabeleciomentos</t>
  </si>
  <si>
    <t xml:space="preserve">Ajustes formato dos relatórios </t>
  </si>
  <si>
    <t>Extração dos dados e elaboração do projeto</t>
  </si>
  <si>
    <t>Revaliação visual</t>
  </si>
  <si>
    <t>Nome em "branco" na coluna produto do funil venda no painel mercado</t>
  </si>
  <si>
    <t>Estudo do Projeto de Descarbonização da Minerção</t>
  </si>
  <si>
    <t>Acompanhando equipe da Amazon na solução de situações problema reportadas por mim</t>
  </si>
  <si>
    <t>Desenvolvimento da pagina de leitos</t>
  </si>
  <si>
    <t>Validação dos dados e correções da pipeline de extração / Documentação do banco de dados</t>
  </si>
  <si>
    <t>Testes de conexão com Power Bi Service</t>
  </si>
  <si>
    <t>Tabulação</t>
  </si>
  <si>
    <t>Cruzamento de dados e análises gráficas</t>
  </si>
  <si>
    <t>Criação de novos indicadores de desempenho</t>
  </si>
  <si>
    <t xml:space="preserve">Acrescentar PEM(solução) no funil venda </t>
  </si>
  <si>
    <t>Análise gráfica</t>
  </si>
  <si>
    <t>Identificação de KPIs para análise da área de mercado</t>
  </si>
  <si>
    <t>Entendimento do banco de dados disponibilizado pela agrodefesa</t>
  </si>
  <si>
    <t>Realizando ETL nos arquivos parquet da RAIS que deram problemas de BAD_DATA no Amazon Athena</t>
  </si>
  <si>
    <t xml:space="preserve">desenvolvimento do restante das paginas </t>
  </si>
  <si>
    <t xml:space="preserve">Continuação dos testes com dados do Caged </t>
  </si>
  <si>
    <t>Relatorio PNAD</t>
  </si>
  <si>
    <t>Desenvolvimento de pipeline Nectar</t>
  </si>
  <si>
    <t>Incluir tabelas secundárias para importação do CAGED no PowerBI</t>
  </si>
  <si>
    <t>MTE - CAGED</t>
  </si>
  <si>
    <t>Extração e inclusão dos dados referente a 05/2024 na AWS e SQL</t>
  </si>
  <si>
    <t>Tratando arquivos parquet da RAIS que estão gerando inconsistências</t>
  </si>
  <si>
    <t>Atualização Painel Caged</t>
  </si>
  <si>
    <t>Teste de comunição com Power Bi service e AWS, importação dos dados</t>
  </si>
  <si>
    <t>Atualização e Tratamento de dados / Atualização CAGED</t>
  </si>
  <si>
    <t xml:space="preserve">Finalização da Pagina Profissionais, Inicio da Leitos </t>
  </si>
  <si>
    <t>Relatório Município de Nova Roma</t>
  </si>
  <si>
    <t>Extração e tratamento dos dados do projeto</t>
  </si>
  <si>
    <t>Elaboração da apresentação/relatório</t>
  </si>
  <si>
    <t>Validação do relatório</t>
  </si>
  <si>
    <t>Análise e Validação do Relatório - Mês 5</t>
  </si>
  <si>
    <t>Reunião para Apresentação da Proposta</t>
  </si>
  <si>
    <t>Projeto Rondônia - Análise e Validação do Edital</t>
  </si>
  <si>
    <t>Análise e Validação do Relatório - Mês 6</t>
  </si>
  <si>
    <t>Extração das bases atualizadas ate o Mes atual</t>
  </si>
  <si>
    <t>Finalização do painel</t>
  </si>
  <si>
    <t>Continuação da atualização incremental com Caged</t>
  </si>
  <si>
    <t>Buscando solucionar problema com a base da RAIS utilizando Python</t>
  </si>
  <si>
    <t>Importando tabelas atualizadas da Saude</t>
  </si>
  <si>
    <t>Alinhamento de Atividades - Analistas</t>
  </si>
  <si>
    <t xml:space="preserve">Atualização e Correções </t>
  </si>
  <si>
    <t>Validação do Projeto de Rondônia - Participação da Licitação</t>
  </si>
  <si>
    <t>Testes e Tratamento de dados identificados como outliers/Ajustes da pipeline de extração de dados</t>
  </si>
  <si>
    <t>Construção do painel</t>
  </si>
  <si>
    <t>Tratamento dos dados</t>
  </si>
  <si>
    <t xml:space="preserve">Criação de gráficos e cartões </t>
  </si>
  <si>
    <t>Gestão do Conhecimento</t>
  </si>
  <si>
    <t>Diagnóstico</t>
  </si>
  <si>
    <t xml:space="preserve">Pesquisar  sobre a ISO 30401 de Gestão do Conhecimento </t>
  </si>
  <si>
    <t xml:space="preserve">Fazer análise de como aplicar na instituição </t>
  </si>
  <si>
    <t>Criação de medida - meta e alteração no na home da página</t>
  </si>
  <si>
    <t>Acrescentar coluna produtos e  sementação por área</t>
  </si>
  <si>
    <t>Criação de medidas e gráficos</t>
  </si>
  <si>
    <t>Diagnóstico dos Produtores da Agrodefesa</t>
  </si>
  <si>
    <t>desenvolvimento do layout Painel ( Background)</t>
  </si>
  <si>
    <t xml:space="preserve">Atualização das bases de dados </t>
  </si>
  <si>
    <t>Mudar formato de visualização da data</t>
  </si>
  <si>
    <t>Identificação de erro e ajustes</t>
  </si>
  <si>
    <t>Desenvolvimento de ETL do Nectar</t>
  </si>
  <si>
    <t>Concluíndo a atualização das tabelas e realizando tratamento de dados inválidos</t>
  </si>
  <si>
    <t>Realizando tratamento do relatório financeiro extraído do CR5</t>
  </si>
  <si>
    <t>Ajustes e melhorias no Painel Gestão</t>
  </si>
  <si>
    <t>Correção e Melhoria da Planilha</t>
  </si>
  <si>
    <t>Ajustes da Pipeline de extração devido a atualização do site</t>
  </si>
  <si>
    <t>Curso ISO 9001</t>
  </si>
  <si>
    <t>Finalização dos detalhes, Publicação e configuração do Power Bi Service</t>
  </si>
  <si>
    <t>Ajustes da Pipeline de extração / Testes de extração</t>
  </si>
  <si>
    <t>Elaboração da proposta</t>
  </si>
  <si>
    <t>Elaboração do cronograma</t>
  </si>
  <si>
    <t>Problema na segmentação de dados</t>
  </si>
  <si>
    <t>Acrescentar link para o painel aprendizagem na home</t>
  </si>
  <si>
    <t>Painel Aprendizagem - SENAI</t>
  </si>
  <si>
    <t>Acrecentar coluna "sit contribuição" e habilitar a consulta cnpj mascarado na busca</t>
  </si>
  <si>
    <t>Alinhar metodologia e cronograma</t>
  </si>
  <si>
    <t>Revisão de contrato</t>
  </si>
  <si>
    <t>Implementação</t>
  </si>
  <si>
    <t>Implementação de novas medidas e indicadores para o painel</t>
  </si>
  <si>
    <t>Elaboração de indicadores</t>
  </si>
  <si>
    <t>Correção e Alteração do Contrato</t>
  </si>
  <si>
    <t>Reunião para detalharem os passos a serem executados na correção de dados das tabelas RAIS</t>
  </si>
  <si>
    <t>Inclusão de nova Pagina, e calculo dos Indicadores de desempenho,</t>
  </si>
  <si>
    <t>Reunião para estruturação de banco em nuvem do Néctar</t>
  </si>
  <si>
    <t>Atualização das bases de dados</t>
  </si>
  <si>
    <t>Estruturação das bases de dados a serem extraidas do nectar</t>
  </si>
  <si>
    <t>Extrair da base da Receita Federal as empresas de Aparecida de Goiânia dos bairros que possuem Polos empresariais</t>
  </si>
  <si>
    <t>Atualização e Tratamento de dados</t>
  </si>
  <si>
    <t>Testes de Consumo de API do Nectar no ambiente AWS</t>
  </si>
  <si>
    <t>Realizando tratamento da tabela de Estabelecimentos da RAIS na AWS</t>
  </si>
  <si>
    <t>Realizando tratamento da tabela de Estabelecimentos e Vinculos da RAIS na AWS</t>
  </si>
  <si>
    <t>Validação e Correção do Painel de Saúde</t>
  </si>
  <si>
    <t>Visual da nova pagina de indicadores de desempenho</t>
  </si>
  <si>
    <t>Menu Editais Observatório</t>
  </si>
  <si>
    <t>Estruturação e identificação da demanda</t>
  </si>
  <si>
    <t>Desenvolvimento de Pipeline de extração no ambiente AWS</t>
  </si>
  <si>
    <t>Correção dos objetivos gerais</t>
  </si>
  <si>
    <t>Acrescentando painel aprendizagem na home</t>
  </si>
  <si>
    <t>Verificando a possibilidade de acrescentar cnpj mascarado</t>
  </si>
  <si>
    <t>Acrescentando botão informativo de como realizar a busca cnpj</t>
  </si>
  <si>
    <t>Implementação do banco do néctar</t>
  </si>
  <si>
    <t>Correção de contrato</t>
  </si>
  <si>
    <t>Acrescentando questões e revisando</t>
  </si>
  <si>
    <t>Corrigindo Indicador de consistência operacional</t>
  </si>
  <si>
    <t>Criação de questionário</t>
  </si>
  <si>
    <t>Acrescentando tamanho da propriedade na amostra</t>
  </si>
  <si>
    <t xml:space="preserve">Realizar mapeamento das atividades dos colaboradores </t>
  </si>
  <si>
    <t>Lista de Empresas do  Comércio SENAC</t>
  </si>
  <si>
    <t>Extração do banco de Dados</t>
  </si>
  <si>
    <t>Tratamento do banco para envio do cliente</t>
  </si>
  <si>
    <t>Extração de Dados do IFC para Alex Borges</t>
  </si>
  <si>
    <t xml:space="preserve">Auxilio as demandas PDE </t>
  </si>
  <si>
    <t>Treinamento sttnet</t>
  </si>
  <si>
    <t>Adicionar CEP e atualizar campos de endereços para Wilma (Sinroupas)</t>
  </si>
  <si>
    <t>Ajustes no formulário piloto + criação de códigos da questão 1.6</t>
  </si>
  <si>
    <t>Definição das etapas e métodos</t>
  </si>
  <si>
    <t>Atualização e correção da Página</t>
  </si>
  <si>
    <t>Validação das Atualizações</t>
  </si>
  <si>
    <t xml:space="preserve">Buscar fonte de alguns indicadores e adicionar novos </t>
  </si>
  <si>
    <t>Elaboração do questionário</t>
  </si>
  <si>
    <t>Lista de Empresas FIEG - Atualização</t>
  </si>
  <si>
    <t>Tratamento do Banco de Dados para envio ao cliente</t>
  </si>
  <si>
    <t xml:space="preserve">Entendimento da adequação dos dados para alcance da amostra </t>
  </si>
  <si>
    <t>Fundamentos de Data science e Inteligência Artificial</t>
  </si>
  <si>
    <t xml:space="preserve">Reunião para ajustes do painel </t>
  </si>
  <si>
    <t xml:space="preserve">Reunião com Rodolfo para informar sobre as atuzalizações do Painel do Perfil </t>
  </si>
  <si>
    <t>Curso de Gestão de Projetos na Prática</t>
  </si>
  <si>
    <t>Aleatoriedade no banco</t>
  </si>
  <si>
    <t>Reunião de Alinhamento da Equipe Observatório</t>
  </si>
  <si>
    <t xml:space="preserve">Ajustes relacionamento de tabela </t>
  </si>
  <si>
    <t>Reunião de Alinhamento e Validação Painel Saúde NPS</t>
  </si>
  <si>
    <t>Atualização e Adição de novos indicadores</t>
  </si>
  <si>
    <t>Elaboração e validação da Amostra para Pesquisadores</t>
  </si>
  <si>
    <t xml:space="preserve">Correção e Preenchimento do banco </t>
  </si>
  <si>
    <t>Demarcação das propriedades que irão receber a ligação</t>
  </si>
  <si>
    <t xml:space="preserve">Testes de Atualização INcremental </t>
  </si>
  <si>
    <t>Novas pipelines para extração e tratamento de dados da FGV</t>
  </si>
  <si>
    <t>Novas pipelines para extração e tratamento de dados do IBGE</t>
  </si>
  <si>
    <t>Novas pipelines para extração e tratamento de dados do CNI</t>
  </si>
  <si>
    <t>Novas pipelines para extração e tratamento de dados do BACEN</t>
  </si>
  <si>
    <t>Atualização dos Indicadores / Atualização da pipeline de dados para extração de uma nova API</t>
  </si>
  <si>
    <t>Painel NPS - Hospitais</t>
  </si>
  <si>
    <t xml:space="preserve">Reajuste tamanho da pagina e ajustes dos indicadores </t>
  </si>
  <si>
    <t>Adicionando informação de CEP na base dos sindicatos</t>
  </si>
  <si>
    <t>Ajustando planilha da amostra</t>
  </si>
  <si>
    <t xml:space="preserve">Ajustes de Visual no painel </t>
  </si>
  <si>
    <t>Painel dos Sindicados - Diretoria</t>
  </si>
  <si>
    <t>Importando planilha dos sindicatos e tratando as informações para utilização no PowerBI</t>
  </si>
  <si>
    <t>Importando planilha dos sindicatos e tratando junto com dados da receita federal para importação no PowerBI</t>
  </si>
  <si>
    <t>Importação e tratamento inicio do painel</t>
  </si>
  <si>
    <t>Realizando tratamento da tabela de CNAE adicionando informação de Sindicato</t>
  </si>
  <si>
    <t>Criação de cards para divulgação de eventos</t>
  </si>
  <si>
    <t>Criação de insights para tabulação de dados</t>
  </si>
  <si>
    <t xml:space="preserve">Organização e planejamento </t>
  </si>
  <si>
    <t>Estruturação da lista de contato necessário para recebimento do banco</t>
  </si>
  <si>
    <t>Estruturação do visual</t>
  </si>
  <si>
    <t>Atualização do painel</t>
  </si>
  <si>
    <t>Ajustes de visual, e indicadores</t>
  </si>
  <si>
    <t>Tabulação de dados</t>
  </si>
  <si>
    <t>Inclusão de informação dos regionais na tabela de Municipios</t>
  </si>
  <si>
    <t>Cursos de Análise de Dados e Ciências de dados disponibilizado pelo Governo Federal</t>
  </si>
  <si>
    <t>Realizando tratamento da planilha do SINVEST, dividindo os campos de endereço</t>
  </si>
  <si>
    <t xml:space="preserve">Incremento de solicitações feitas na Sexta feira </t>
  </si>
  <si>
    <t>ajustes na tabulação do Form</t>
  </si>
  <si>
    <t>Testes e extração Nectar</t>
  </si>
  <si>
    <t>Importação e tratamento de dados com python, criação de gráficos com python</t>
  </si>
  <si>
    <t>Cursos da Trilha de Analise de dados do Governo Federal</t>
  </si>
  <si>
    <t>Extração de informações para SINDIPAO</t>
  </si>
  <si>
    <t>Criação de template para questionário de pesquisa</t>
  </si>
  <si>
    <t>Aprendizado sobre NPS (Net Promoter Score)</t>
  </si>
  <si>
    <t>Tratamento de dados BIG DATA</t>
  </si>
  <si>
    <t>Alteração de nomes e telefones do painel</t>
  </si>
  <si>
    <t>atualização</t>
  </si>
  <si>
    <t>tabulação do questionário para relatório</t>
  </si>
  <si>
    <t>Pesquisa NPS</t>
  </si>
  <si>
    <t>Criação de template e fluxo das pesquisas</t>
  </si>
  <si>
    <t>Realizando tratamento da planilha do SINVEST, nova extração a pedido da Elenice</t>
  </si>
  <si>
    <t>Extração e análise de dados com python</t>
  </si>
  <si>
    <t xml:space="preserve">Inicio do Desenvolvimento do Painel </t>
  </si>
  <si>
    <t xml:space="preserve">Desenvolvendo Calculos e possiveis visuais </t>
  </si>
  <si>
    <t>Ajustes e correções</t>
  </si>
  <si>
    <t>Aprendizado sobre NPS</t>
  </si>
  <si>
    <t xml:space="preserve">Alteração no visual </t>
  </si>
  <si>
    <t>Importando base atualizada da RF e buscando corrigir erros de nomes das colunas</t>
  </si>
  <si>
    <t>Criação do esboço do relatório e identidade visual</t>
  </si>
  <si>
    <t>Treinamento de estrutura NPS</t>
  </si>
  <si>
    <t>Melhorias na identidade de visual e medidas</t>
  </si>
  <si>
    <t>Melhorias nas relações e nos gráficos</t>
  </si>
  <si>
    <t>Acrescentando nova nomeclatura de unidade - 2024</t>
  </si>
  <si>
    <t>Alteração de gráficos na analytics</t>
  </si>
  <si>
    <t xml:space="preserve">Treinamento excel </t>
  </si>
  <si>
    <t>Realizando importação da nova base da Receita e tratativas das colunas que não vieram nomeadas corretamente</t>
  </si>
  <si>
    <t>Correções e atualizações do Paienl (tratamento de dados)</t>
  </si>
  <si>
    <t>reunião sobore ajustes</t>
  </si>
  <si>
    <t>Tratamento de dados Receita e atualização para o painel sindicatos</t>
  </si>
  <si>
    <t>Entendimento sobre o banco da receita</t>
  </si>
  <si>
    <t>Auxilio e ajustes do projeto</t>
  </si>
  <si>
    <t>Painel NPS</t>
  </si>
  <si>
    <t>Reunião sobre a base da receita federal</t>
  </si>
  <si>
    <t>Criando tabela da RF com dados tratados</t>
  </si>
  <si>
    <t>Atualização do cronogrma</t>
  </si>
  <si>
    <t>Importando nova base da RF na base de Sindicatos</t>
  </si>
  <si>
    <t>Painel NPS-Criação de pré-projeto</t>
  </si>
  <si>
    <t>problema na atualização "A solicitação foi anulada: A conexão foi fechada de modo inesperado".</t>
  </si>
  <si>
    <t>Estruturação em nuvem do NECTAR</t>
  </si>
  <si>
    <t>Acrescentando nova divisão "unidade" na segmentação de dados</t>
  </si>
  <si>
    <t>Teste de Layout e continuação dos calculos</t>
  </si>
  <si>
    <t xml:space="preserve">atualização e testes </t>
  </si>
  <si>
    <t>Análise descritiva em r</t>
  </si>
  <si>
    <t>Atualização das permissões de perfil AWS</t>
  </si>
  <si>
    <t>Atualização dados CAGED Panorama</t>
  </si>
  <si>
    <t>Atualizando CAGED on permisse (SQL) e nuvem (AWS)</t>
  </si>
  <si>
    <t>Retirando duplicatas, corrigindo informações de Municipios, incluindo coluna de simples e MEI</t>
  </si>
  <si>
    <t>Reunião de apresentação  do Painel</t>
  </si>
  <si>
    <t>Alinhamento de atividades e Demandas</t>
  </si>
  <si>
    <t>Pipelines de atualização diária e automatica do NECTAR</t>
  </si>
  <si>
    <t>Alinhamento do Projeto</t>
  </si>
  <si>
    <t>Estruturação do Projeto para a Equipe PDF</t>
  </si>
  <si>
    <t>Ajustes dos Preenchimentos da Planilha</t>
  </si>
  <si>
    <t>Alinhamento das demandas</t>
  </si>
  <si>
    <t>alteração na pipeline de extração do NECTAR</t>
  </si>
  <si>
    <t>Apresentação do Projeto para o PDF</t>
  </si>
  <si>
    <t>desenvolvimento da segunda pagina de exemplos</t>
  </si>
  <si>
    <t>Validação das permissões AWS para correção de erros da pipeline do nectar</t>
  </si>
  <si>
    <t>Alinhamento das demandas e atividades da Área</t>
  </si>
  <si>
    <t>caged teste de atualização incremental</t>
  </si>
  <si>
    <t>Atualização dos indicadores</t>
  </si>
  <si>
    <t>Extração das bases de dados Usuarios, Times e tratamento (NECTAR)</t>
  </si>
  <si>
    <t>Aprendizado sobre extração e analise de dados com python</t>
  </si>
  <si>
    <t>O seguinte erro - "Um erro ao carregar uma tabela anterior cancelou o carregamento.'</t>
  </si>
  <si>
    <t>O seguinte erro-"Erro do OLE DB ou do ODBC : Exceção de HRESULT: 0x80040E4E."</t>
  </si>
  <si>
    <t>Extração de dados do SNE (auxilio solicitado pela Carla)</t>
  </si>
  <si>
    <t xml:space="preserve">Auxilio a novas fontes de indicadores para o IFC </t>
  </si>
  <si>
    <t>Elaboração do Manual do PDE</t>
  </si>
  <si>
    <t>Elaboração do Manual da Matriz Comparativa Municipal x IEL</t>
  </si>
  <si>
    <t>Painel NPS - Corrigindo visual</t>
  </si>
  <si>
    <t>Coluna produto em branco na venda(em aberto)</t>
  </si>
  <si>
    <t>Reunião para definição de objetivos da pesquisa (Agrodefesa)</t>
  </si>
  <si>
    <t>Definição de amostra para realização da pesquisa</t>
  </si>
  <si>
    <t>Elaboração da Proposta</t>
  </si>
  <si>
    <t>Reuniões de alinhamento com a equipe</t>
  </si>
  <si>
    <t xml:space="preserve">Validação do projeto com a gerência </t>
  </si>
  <si>
    <t>Reunião de alinhamento com a Agrodefesa</t>
  </si>
  <si>
    <t>Estruturar Modelo de Relatório</t>
  </si>
  <si>
    <t>Script para tratamento das respostas do formulario</t>
  </si>
  <si>
    <t>Extração de dados para projeto Rodada de Negócios a pedido do Wenes</t>
  </si>
  <si>
    <t>Avaliando consultas para extração Valorizza</t>
  </si>
  <si>
    <t>Extração de quantidade de trabalhadores por capitais do Brasil e quantidade de MEIs ativos por capitais do Brasil</t>
  </si>
  <si>
    <t>Atualização e Ajustes da Planilha</t>
  </si>
  <si>
    <t>Demandas Federação (FIEG, SESI e SENAI)</t>
  </si>
  <si>
    <t>Inserção de CEP na planilha da Simesgo e tratamento da planilha</t>
  </si>
  <si>
    <t xml:space="preserve">Ajustes e atualizações do Painel </t>
  </si>
  <si>
    <t xml:space="preserve">Estudos, e atualizações para implementação nos paineis </t>
  </si>
  <si>
    <t>Tratamento da base de dados</t>
  </si>
  <si>
    <t>Consolidação de inconsistências da planilha de gestão</t>
  </si>
  <si>
    <t>Realizando extração de dados para Valorizza</t>
  </si>
  <si>
    <t>Extração da quantidade de trabalhadores por capitais e porte das empresas</t>
  </si>
  <si>
    <t>Pesquisa - Observatório do Rio Grande do Sul - Construção Civil</t>
  </si>
  <si>
    <t>Elaboração da amostra</t>
  </si>
  <si>
    <t>Foram utilizadas 4 horas brutas, no entanto, houve um tempo para extrair os dados e pequenas discussões sobre a metodologia da amostra</t>
  </si>
  <si>
    <t>Tratamento de dados</t>
  </si>
  <si>
    <t>Treinamentos Unindustria</t>
  </si>
  <si>
    <t xml:space="preserve">Extração de dados da RAIS e RF </t>
  </si>
  <si>
    <t xml:space="preserve">Ajustes solicitados pela Diretoria </t>
  </si>
  <si>
    <t xml:space="preserve">Correção e Ajustes da Planilha </t>
  </si>
  <si>
    <t>Elaboração da proposta e Custo projeto Aclara</t>
  </si>
  <si>
    <t>Reunião e Alinhamento do Projeto Aclara</t>
  </si>
  <si>
    <t>Continuação do tratamento para Implementação do PDF</t>
  </si>
  <si>
    <t>Curso de Fundamentos de Data Science e Inteligência de dados da Data Science Academy</t>
  </si>
  <si>
    <t>Curso de excel - macros</t>
  </si>
  <si>
    <t>Extração da quantidade de trabalhadores por Estado, cidade, porte e vinculos ativos - Rais vinculos 22</t>
  </si>
  <si>
    <t>Ajustes em consultas Valorizza</t>
  </si>
  <si>
    <t>Extração de dados de Estágio para IEL Nacional</t>
  </si>
  <si>
    <t>Testes e atualização do script</t>
  </si>
  <si>
    <t>Tratamento das bases de dados e inclusão do PDF</t>
  </si>
  <si>
    <t>Tratamento de detalhes no paienl e melhor responsividade</t>
  </si>
  <si>
    <t>Distribuição da amostra</t>
  </si>
  <si>
    <t>Elaboração de Proposta</t>
  </si>
  <si>
    <t>Extração de dados Valorizza - IEL AC, Correção de consultas, Extração de dados para IEL Nacional</t>
  </si>
  <si>
    <t>Elaboração de gráficos e medidas</t>
  </si>
  <si>
    <t>Automatização das pipelines de extração de usuários e times AWS</t>
  </si>
  <si>
    <t xml:space="preserve">Estudos relacionados ao Power bi, </t>
  </si>
  <si>
    <t xml:space="preserve">Revisão e ajustes no visual </t>
  </si>
  <si>
    <t>1 e 2 - elaboração de relatório</t>
  </si>
  <si>
    <t xml:space="preserve">apoio nas atividades Luziânia </t>
  </si>
  <si>
    <t>Capacitação em excel</t>
  </si>
  <si>
    <t>Antônio Guido</t>
  </si>
  <si>
    <t xml:space="preserve">Capacitação em excel </t>
  </si>
  <si>
    <t>Apresentação da empresa e introdução ao excel</t>
  </si>
  <si>
    <t>Artur Marcon</t>
  </si>
  <si>
    <t>Introdução as fórmulas de excel</t>
  </si>
  <si>
    <t>Aprendizado ao uso das fórmulas PROCV e PROCH em excel</t>
  </si>
  <si>
    <t xml:space="preserve">Aprendizado ao uso da fórmula PROCX </t>
  </si>
  <si>
    <t>Correção da planilha de sigla de sindicato.</t>
  </si>
  <si>
    <t>Validação de planilhas para extração da Valorizza</t>
  </si>
  <si>
    <t>Construçaõ do painel e criação de medidas</t>
  </si>
  <si>
    <t>Introdução ao power by</t>
  </si>
  <si>
    <t>planejamento</t>
  </si>
  <si>
    <t>Power bi - novas funcionalidades</t>
  </si>
  <si>
    <t>Recalculando amostra - mudança de metodologia</t>
  </si>
  <si>
    <t>Excel -  procvduplo e procx</t>
  </si>
  <si>
    <t xml:space="preserve">Verificação de possiveis erros de responsividade </t>
  </si>
  <si>
    <t>Auxilio ao Diego</t>
  </si>
  <si>
    <t>Extração das empresas ativas de Niquelândia na base da RF a pedido da inteligencia de mercado</t>
  </si>
  <si>
    <t xml:space="preserve">Inicio da estruturação do painel, calculos e testes de visuais </t>
  </si>
  <si>
    <t>Incluindo as informações de regionais na planilha de municipios do SQL e AWS</t>
  </si>
  <si>
    <t>Análise  e Validação do Painel e Indicadores</t>
  </si>
  <si>
    <t>Reunião de Alinhamento com Equipe</t>
  </si>
  <si>
    <t>Estudo de documentação - Departamento Nacional de Registro Empresarial e Integração (DREI)</t>
  </si>
  <si>
    <t>Estudo sobre como montar gráficos no PowerBI</t>
  </si>
  <si>
    <t>Capacitação em Excel</t>
  </si>
  <si>
    <t xml:space="preserve">Reunião de integração </t>
  </si>
  <si>
    <t>Reunião de integração</t>
  </si>
  <si>
    <t>Estruturação da Documentação do MTE</t>
  </si>
  <si>
    <t>Banco de Dados do PIB de Goiás - FIEG Claúdio</t>
  </si>
  <si>
    <t>Curso Power BI</t>
  </si>
  <si>
    <t>Auxiliando novos estagiários nas ferramentas Excel e Power BI</t>
  </si>
  <si>
    <t>Estruturação da planilha - Empresas Niquelândia</t>
  </si>
  <si>
    <t>Extração de regionais fundepec</t>
  </si>
  <si>
    <t>Estruturação do banco para os pesquisadores</t>
  </si>
  <si>
    <t>Construção do Painel Serra Verde</t>
  </si>
  <si>
    <t>Alinhamento sobre medidas e visual Power BI</t>
  </si>
  <si>
    <t>Validação Painel PDF Serra Verde</t>
  </si>
  <si>
    <t>Reunião de Instrução</t>
  </si>
  <si>
    <t xml:space="preserve">Atividades Luziânia </t>
  </si>
  <si>
    <t>Atualização de logo e correção de textos</t>
  </si>
  <si>
    <t>Participação de reuniçao de instrução</t>
  </si>
  <si>
    <t>Alinhamento de medidas</t>
  </si>
  <si>
    <t>Possíveis criações de páginas e gráficos</t>
  </si>
  <si>
    <t>Auxiliando estagiários nas atividades</t>
  </si>
  <si>
    <t>Construção Painel PDF Serra Verde</t>
  </si>
  <si>
    <t xml:space="preserve">Validação de indicadores </t>
  </si>
  <si>
    <t>Organização de relatório</t>
  </si>
  <si>
    <t>Ajuste de grafíco no Power BI  junto ao Bruno</t>
  </si>
  <si>
    <t>Curso de Power BI - Ajustes finais para montagem de painel</t>
  </si>
  <si>
    <t xml:space="preserve">Finalização do curso de excel </t>
  </si>
  <si>
    <t>Estudos Sobre novas atualização do Power bi, desenvolvimento de novar formas de incrementar o workflow no service.</t>
  </si>
  <si>
    <t>Tratamentos de dados em Power BI</t>
  </si>
  <si>
    <t xml:space="preserve">Treinamento em Power BI </t>
  </si>
  <si>
    <t>Estudos e desenvolvimento de conexão com API usando Power Query</t>
  </si>
  <si>
    <t xml:space="preserve">Ajustes e checagem das bases </t>
  </si>
  <si>
    <t>Visual - Capa e Metodologia</t>
  </si>
  <si>
    <t>Curso - Power BI</t>
  </si>
  <si>
    <t xml:space="preserve">2 Encontro Nacional dos Observatórios </t>
  </si>
  <si>
    <t>Construção painel serra verde</t>
  </si>
  <si>
    <t>Reunião para construção de painel serra verde</t>
  </si>
  <si>
    <t>Modelagem de dados e conexão de tabelas no power bi</t>
  </si>
  <si>
    <t>Construção de dash boards no power bi</t>
  </si>
  <si>
    <t xml:space="preserve">Aplicação da nova logo do IEL em todos os slides da Apresentação </t>
  </si>
  <si>
    <t>Reunião de alinhamento com a Sandra para definição de novos indicadores e ajustes para serem implementados no IFC</t>
  </si>
  <si>
    <t>Reunião de alinhamento com a equipe para distribuição de atividades de atualização do IFC</t>
  </si>
  <si>
    <t>Inicio da definição de indicadores que deverão compor o IFC</t>
  </si>
  <si>
    <t xml:space="preserve">Continuidade ao curso de power BI </t>
  </si>
  <si>
    <t>Aprendizado a respeito de uso da linguagem "M" e DAX</t>
  </si>
  <si>
    <t xml:space="preserve">Tratamento dos Dados do Painel/ Validação de dados na Base </t>
  </si>
  <si>
    <t xml:space="preserve">Ajuste de medidas e base </t>
  </si>
  <si>
    <t xml:space="preserve">atualizar base de dados do painel e ajustar visuais </t>
  </si>
  <si>
    <t xml:space="preserve">Atualiazação e correção de erros nas consultas </t>
  </si>
  <si>
    <t>Construção Painel Serra Verde</t>
  </si>
  <si>
    <t xml:space="preserve">Continuidade ao curso de power BI (Modelagem e Dax) </t>
  </si>
  <si>
    <t>Curso de power bi - Aplicações práticas</t>
  </si>
  <si>
    <t>Viagem para Brasília</t>
  </si>
  <si>
    <t xml:space="preserve">Curso de power bi </t>
  </si>
  <si>
    <t>Revisão de indicadores</t>
  </si>
  <si>
    <t>Finalização painel de marketing e inicio painel de dados comerciais</t>
  </si>
  <si>
    <t>Finalização do Capitulo 3 do Curso de Power BI</t>
  </si>
  <si>
    <t>Visita a CNI</t>
  </si>
  <si>
    <t>Power Bi Att agosto</t>
  </si>
  <si>
    <t xml:space="preserve">Atualização da Base e ajustes visuais </t>
  </si>
  <si>
    <t>Auxilio na construção da metodologia do painel</t>
  </si>
  <si>
    <t>Alterações e melhorias no painel da FUNDEPEC</t>
  </si>
  <si>
    <t>Módulo 5 curso de power bi</t>
  </si>
  <si>
    <t>Análise dos indicadores</t>
  </si>
  <si>
    <t>Iniciação do Modulo 4 do Curso de Power BI</t>
  </si>
  <si>
    <t>Apresentação do Projeto para diretoria</t>
  </si>
  <si>
    <t>Ajustes e correções do Painel</t>
  </si>
  <si>
    <t>Correções de Bugs e Erros</t>
  </si>
  <si>
    <t>Estruturação do Projeto Painel Agroindustria de Goiás</t>
  </si>
  <si>
    <t xml:space="preserve">Teste com Nova Tabela incluindo as Siglas </t>
  </si>
  <si>
    <t>Página perfil do produtor - gráficos e visuais</t>
  </si>
  <si>
    <t>Divergência no valor total - entrega/venda</t>
  </si>
  <si>
    <t>Visual - comportamento de vacinação e mídia sociais</t>
  </si>
  <si>
    <t xml:space="preserve">Continuidade ao Modulo 4 do Curso de Power BI </t>
  </si>
  <si>
    <t>Elaboração de painel autoral visando aprimoramento na prática</t>
  </si>
  <si>
    <t>Aprendizado sobre criação de painel com o Paulo</t>
  </si>
  <si>
    <t>Preparação da documentação prara o projeto Idetch</t>
  </si>
  <si>
    <t>Reunião com cliente para definição das etapas</t>
  </si>
  <si>
    <t>Definição do custos e etapas do projeto Painel Agroindústrias</t>
  </si>
  <si>
    <t>Estruturação e envio dos questionários Idetch</t>
  </si>
  <si>
    <t>Extração e atualização dos arquivos (Apresentações)</t>
  </si>
  <si>
    <t>Ajustes Painel Serra Verde</t>
  </si>
  <si>
    <t>Curso Power bi</t>
  </si>
  <si>
    <t>Valores a mais no painel mercado do que o Néctar</t>
  </si>
  <si>
    <t>Elaboração de Planilha dos Painéis e indicadores do site</t>
  </si>
  <si>
    <t>Adicionando gráficos e medidas - Analytics</t>
  </si>
  <si>
    <t>Ajustes na base e medidas para bater os valoresd</t>
  </si>
  <si>
    <t xml:space="preserve">Ajustes Painel Serra Verde </t>
  </si>
  <si>
    <t>12 a 16 - Estruturação PDE</t>
  </si>
  <si>
    <t>19 a 23 - Viagem para Minaçu</t>
  </si>
  <si>
    <t>26 a 30 - Elaboração relatório, entrevistas novo técnico, reuniões</t>
  </si>
  <si>
    <t>Acrescimo de novas empresas na planília do excel</t>
  </si>
  <si>
    <t>Fase final construção de painel autoral</t>
  </si>
  <si>
    <t xml:space="preserve">Alimentando Formulario PDE - com dados disponiveis no excel </t>
  </si>
  <si>
    <t>Validação do Painel Serra Verde</t>
  </si>
  <si>
    <t>Pesquisa Idetch</t>
  </si>
  <si>
    <t>Estruturação dos  Questionários e envio para os Gestores dos Hospitais</t>
  </si>
  <si>
    <t>Elaboração da documentação MTE</t>
  </si>
  <si>
    <t>Análise dos eixos</t>
  </si>
  <si>
    <t>Atualização da Planilha do Nacional</t>
  </si>
  <si>
    <t>Evento para os estagiários do IEL</t>
  </si>
  <si>
    <t>Alinhamento painel FUNDEPEC</t>
  </si>
  <si>
    <t xml:space="preserve">Inserindo colunas no gráfico e fazendo os relacionamentos </t>
  </si>
  <si>
    <t>Tratamento de planilha para o analytics - META</t>
  </si>
  <si>
    <t>Extração base CAGED competência 07-2024</t>
  </si>
  <si>
    <t>Atualizando Jobs para buscar as novas estruturas do CAGE, RAIS e RF</t>
  </si>
  <si>
    <t>Atualização e ajustes visuais solicitados</t>
  </si>
  <si>
    <t xml:space="preserve">Ajustes em medidas Painel </t>
  </si>
  <si>
    <t>Ajustes FInais</t>
  </si>
  <si>
    <t>Alimentação de dados PDE</t>
  </si>
  <si>
    <t>Finalização de projeto autoral para treinamento</t>
  </si>
  <si>
    <t>Reorientação da tabulação automática com base nos novos questionários do HGG</t>
  </si>
  <si>
    <t>Abrir pasta física do projeto</t>
  </si>
  <si>
    <t>Download dados RF e criação de tabela tratada</t>
  </si>
  <si>
    <t>Extração de dados de empresas do Segmento indústria da RAIS e RF das cidades do entorno do DF</t>
  </si>
  <si>
    <t>Buscando informações de como obter os dados do CAGED e RAIS já que o FTP foi inativado</t>
  </si>
  <si>
    <t>Atividade dia do estagiário.</t>
  </si>
  <si>
    <t>finalização e apresentação do meu projeto autoral</t>
  </si>
  <si>
    <t>Lista de empresas de determinado segmento (62015, 62023, 62031, 62040, 62091)</t>
  </si>
  <si>
    <t xml:space="preserve">Organização da planilha no excel </t>
  </si>
  <si>
    <t>Continuidade ao Curso de Power BI</t>
  </si>
  <si>
    <t>Corrigindo cores e acrescentando informações na tabela do analytics</t>
  </si>
  <si>
    <t>Identificação dos novos links para acesso a série histórica</t>
  </si>
  <si>
    <t>Reunião de Alinhamento de Informações e Projetos da Área</t>
  </si>
  <si>
    <t>Reunião para apresentar o que foi mostrado no 2° encontro dos observatórios</t>
  </si>
  <si>
    <t>Projeto pessoal</t>
  </si>
  <si>
    <t>Finalização do Modulo 4 do curso de Power BI</t>
  </si>
  <si>
    <t>Alinhando banco disponibilizado pela agrodefesa</t>
  </si>
  <si>
    <t xml:space="preserve">Curso power bi </t>
  </si>
  <si>
    <t>Conclusão do curso Fundamentos de Data Science e Inteligência Artificial</t>
  </si>
  <si>
    <t>Estruturando consulta para extração das informações aleatórias do banco de dados da Fundepec</t>
  </si>
  <si>
    <t>Início de projeto para aprimoramento de conhecimentos no power bi</t>
  </si>
  <si>
    <t>Análise de concorrentes do projeto de IA liderado pelo Alex</t>
  </si>
  <si>
    <t>Formulação da Pesquisa do FUNDEPEC pelo FORMS</t>
  </si>
  <si>
    <t xml:space="preserve">Estudos e aplicação para conectar via APi e atualizar automatico </t>
  </si>
  <si>
    <t>Atualização e ajustes da planilha</t>
  </si>
  <si>
    <t xml:space="preserve">Capacitação Datasience </t>
  </si>
  <si>
    <t>Pesquisa Simulador de Entrevista I.A</t>
  </si>
  <si>
    <t>Pré-projeto e alinhamento</t>
  </si>
  <si>
    <t>Planejamento inteligência de mercado - CMs</t>
  </si>
  <si>
    <t>Reunião de alinhamento de Cadastro</t>
  </si>
  <si>
    <t xml:space="preserve">Alinhamento do projeto </t>
  </si>
  <si>
    <t>Api - painel mercado</t>
  </si>
  <si>
    <t>Apresentação/Entrega</t>
  </si>
  <si>
    <t>Últimas alterações no manual de preenchimento do forms</t>
  </si>
  <si>
    <t>Alinhamento sobre o projeto</t>
  </si>
  <si>
    <t>Alinhamento do projeto</t>
  </si>
  <si>
    <t>Ajustes e modelagem do painel</t>
  </si>
  <si>
    <t xml:space="preserve">Ajustes no Forms pois entrou um novo </t>
  </si>
  <si>
    <t>Conferência da consulta de extração de informações aleatórias e envio para os responsáveis</t>
  </si>
  <si>
    <t>Elencando os principais concorrentes de IA</t>
  </si>
  <si>
    <t>Construção do relatório em PPT</t>
  </si>
  <si>
    <t>Alinhamento com o demandante</t>
  </si>
  <si>
    <t>Ajustes e correções da planilha de Gestão</t>
  </si>
  <si>
    <t>Mundaça de id da planilha para o BI</t>
  </si>
  <si>
    <t>Formulário</t>
  </si>
  <si>
    <t>Avaliando relatório</t>
  </si>
  <si>
    <t>Verificando valores da api</t>
  </si>
  <si>
    <t>Executor e ação de cada atividade</t>
  </si>
  <si>
    <t>Reunião de alinhamento com a equipe</t>
  </si>
  <si>
    <t>alinhamento com Diego</t>
  </si>
  <si>
    <t>Correção e atribuição de ideias</t>
  </si>
  <si>
    <t>Buscar informações de empresas para Bruno</t>
  </si>
  <si>
    <t xml:space="preserve">Ajustes da planilha de pesquisa </t>
  </si>
  <si>
    <t>Retirando consultores que não estão mais trabalhando para o IEL GO</t>
  </si>
  <si>
    <t>Alteração e ajustes, além da pesquisa sobre o concorrente internacional.</t>
  </si>
  <si>
    <t>Avaliação final e entrega.</t>
  </si>
  <si>
    <t xml:space="preserve">Parte final do projeto + alterações/ajustes </t>
  </si>
  <si>
    <t>Acrescentando árvore hierarquica analytics</t>
  </si>
  <si>
    <t>Estudo e Análise dos Indicadores</t>
  </si>
  <si>
    <t>Reunião com Sandra para alinhamento do projeto</t>
  </si>
  <si>
    <t>Instalação do Nectar, atualização do painel mercado</t>
  </si>
  <si>
    <t>Analisando base  da ANM</t>
  </si>
  <si>
    <t>Reunião de alinhamento para atualização do índice</t>
  </si>
  <si>
    <t xml:space="preserve">Atualização de logo e outros </t>
  </si>
  <si>
    <t>Reunião de alinhamento IDETCH</t>
  </si>
  <si>
    <t>Reunião para definição de lista de contatos para pesquisadoras</t>
  </si>
  <si>
    <t>Recebimento do banco de dados e tratamento para listagem</t>
  </si>
  <si>
    <t>Listagem</t>
  </si>
  <si>
    <t>Alterações e ajustes pedidos pela Sandra</t>
  </si>
  <si>
    <t>Ajustes no painel</t>
  </si>
  <si>
    <t>Estruturação do painel</t>
  </si>
  <si>
    <t>Reunião online com o Rodolfo</t>
  </si>
  <si>
    <t>Reformulação completa do dashboard</t>
  </si>
  <si>
    <t>Acrescentando medida de meta na tabela analytics e add ícones</t>
  </si>
  <si>
    <t>Demanda do Humberto para uma nova página no Painel Mercado</t>
  </si>
  <si>
    <t>Medidas BI - curso</t>
  </si>
  <si>
    <t>Identificando probkemas no link e no cadastro para os pesquisadores</t>
  </si>
  <si>
    <t>Painel de Governança</t>
  </si>
  <si>
    <t>Desenvolvimento do Html e css</t>
  </si>
  <si>
    <t>Orientação para o Arhtur desenvolver o paienl</t>
  </si>
  <si>
    <t>Ajuda com varios projetos da equipe</t>
  </si>
  <si>
    <t>Preenchimento de cadastro</t>
  </si>
  <si>
    <t>Ajustes no dashboard</t>
  </si>
  <si>
    <t>Curso de PowerBI da Data Science Academy</t>
  </si>
  <si>
    <t>Curso Tecendo Inovação - Unindustria</t>
  </si>
  <si>
    <t>Curso Moonshot Thinking - Unindustria</t>
  </si>
  <si>
    <t>Curso Ao Infinito e Além - Unindustria</t>
  </si>
  <si>
    <t>Curso Lean Office - Unindustria</t>
  </si>
  <si>
    <t>Curso Novos Negócios Digitais - Unindustria</t>
  </si>
  <si>
    <t>Curso Tecnologias Emergentes - Unindustria</t>
  </si>
  <si>
    <t>Elaboração de uma nova página do painel sobre a meta das unidades</t>
  </si>
  <si>
    <t>Regras PPR 2024</t>
  </si>
  <si>
    <t>Tratando planilha da Fundepec, retirando os produtores do envio anterior e retirando os que não possuem telefone</t>
  </si>
  <si>
    <t xml:space="preserve">ALterações e ajustes </t>
  </si>
  <si>
    <t>Extração dados CAGED (Goiás, Industria, ultimos 5 anos)</t>
  </si>
  <si>
    <t>Alinhamento da pesquisa do projeto</t>
  </si>
  <si>
    <t>Construção das medidas do painel</t>
  </si>
  <si>
    <t>Iniciação ao cap 5 do curso de BI</t>
  </si>
  <si>
    <t>Elaboração do cadastro para enviar aos pesquisadores</t>
  </si>
  <si>
    <t>A coluna 'Tag Cliente/Oportunidade:#StagioWars' da tabela não foi encontrada</t>
  </si>
  <si>
    <t>Extração de dados do caged (Goiás, Indústria, Construção Civil, ultimos 5 anos, média salarial)</t>
  </si>
  <si>
    <t>Elaboração de cronograma Rede Hemo e HGG</t>
  </si>
  <si>
    <t xml:space="preserve">Continuidade ao cap 5 do curso de BI </t>
  </si>
  <si>
    <t xml:space="preserve">Alinhamento em relação ao painel </t>
  </si>
  <si>
    <t>Alterações no painel</t>
  </si>
  <si>
    <t>Ajustes nas perguntas dos gráficos</t>
  </si>
  <si>
    <t>Correção e Ajustes das atividades</t>
  </si>
  <si>
    <t>MTE - RAIS</t>
  </si>
  <si>
    <t>Documentação para acesso a base (Correções)</t>
  </si>
  <si>
    <t>Curso Datascience</t>
  </si>
  <si>
    <t>Tratamendo da base de dados</t>
  </si>
  <si>
    <t>Validação e ajustes do painel</t>
  </si>
  <si>
    <t>Ajustes no Relatório da Ascom</t>
  </si>
  <si>
    <t>Reunião junto ao Ely, Diego, Fernanda e Bruno para tratativas quanto a base e randomicidade dos dados</t>
  </si>
  <si>
    <t>Ajustes em gráficos e medidas</t>
  </si>
  <si>
    <t>Elaboração de relatório uitilizando PIM-PF</t>
  </si>
  <si>
    <t>Alterações e ajustes</t>
  </si>
  <si>
    <t>Pesquisa industrial</t>
  </si>
  <si>
    <t>Ajustes nas relações e exportação para o painel mercado</t>
  </si>
  <si>
    <t>Alinhamento dos cadastros dos pesquisadores</t>
  </si>
  <si>
    <t>Formatação do painel</t>
  </si>
  <si>
    <t>Formatação dos relatorios do HGG</t>
  </si>
  <si>
    <t>Continuidade ao curso de BI</t>
  </si>
  <si>
    <t>Extração dados RAIS 23 Parcial</t>
  </si>
  <si>
    <t>Tratamento das bases RAIS Vinc e Estab 23 parcial</t>
  </si>
  <si>
    <t>Extração de dados da Receita Federal, Estágio e Aprendiz</t>
  </si>
  <si>
    <t>Construção Painel Engie</t>
  </si>
  <si>
    <t>Formatação dos relatorios do HGG e do HEMO</t>
  </si>
  <si>
    <t>Reestruturação e adição de gráficos no painel</t>
  </si>
  <si>
    <t>IFC - Atualização 2024</t>
  </si>
  <si>
    <t>Criação do cronograma</t>
  </si>
  <si>
    <t>Identificação das bases e novas informações</t>
  </si>
  <si>
    <t>Reunião de Alinhamento dos projetos Observatório</t>
  </si>
  <si>
    <t>Validação dos indicadores para o projeto</t>
  </si>
  <si>
    <t>Extração Dados da Receita Federal, Estágio e Aprendiz com comparações entre bases</t>
  </si>
  <si>
    <t>Reunião sobre o IFC</t>
  </si>
  <si>
    <t>Reunião para tratar sobre as atualizações e cronograma do IFC</t>
  </si>
  <si>
    <t>Reunião junto com Ely e Sandra para verificar o andamento das pesquisas e como será tratada a base</t>
  </si>
  <si>
    <t xml:space="preserve">Extração de dados da RAIS - Mulheres (Industria e Construção Civil) - </t>
  </si>
  <si>
    <t>Conferindo planília a pedido da Fernanda</t>
  </si>
  <si>
    <t>Lista de empresas que se beneficiam da Lei do Bem</t>
  </si>
  <si>
    <t>Empresas que já fizeram contato para o Inova Talentos</t>
  </si>
  <si>
    <t>Empresas clientes em estágio e aprendiz de médio e grande porte</t>
  </si>
  <si>
    <t>Empresas regulamentadas ANEEL</t>
  </si>
  <si>
    <t>Empresas regulamentadas ANP</t>
  </si>
  <si>
    <t xml:space="preserve">Ajuda na pesquisa da agrodefesa </t>
  </si>
  <si>
    <t>Elaboração da Estudo para a equipe da Ascom ( Indústria Goiana e Mercado de trabalho)</t>
  </si>
  <si>
    <t>Propsecção de clientes</t>
  </si>
  <si>
    <t>Painel Engie</t>
  </si>
  <si>
    <t>Extração dados da RF comparando com Estágio - 100 maiores empresas (capital social)</t>
  </si>
  <si>
    <t>Randomização dos dados da planilha da Fundepec</t>
  </si>
  <si>
    <t>Continuidade ao curso de power BI</t>
  </si>
  <si>
    <t>correção de erros em planília de informações</t>
  </si>
  <si>
    <t xml:space="preserve">Formatação dos relatorios do HGG </t>
  </si>
  <si>
    <t>Extração de listagem para coleta</t>
  </si>
  <si>
    <t xml:space="preserve">Reunião </t>
  </si>
  <si>
    <t xml:space="preserve">Empresas ANP </t>
  </si>
  <si>
    <t>Empresas FINEP</t>
  </si>
  <si>
    <t>Curso BI - DSA</t>
  </si>
  <si>
    <t>Extração de dados sobre quantidade de mulheres na industria, por cbo e media salarial</t>
  </si>
  <si>
    <t>Randomização de dados planilha Fundepec</t>
  </si>
  <si>
    <t>Extração da base da Receita Federal atualizada e tratamento dos dados</t>
  </si>
  <si>
    <t>Correção de erros em planília do excel de acordo com pedidos da Fernanda</t>
  </si>
  <si>
    <t xml:space="preserve">separação das planilhas </t>
  </si>
  <si>
    <t>Empresas de Goiás - Receita Federal - Antônio Neto STI</t>
  </si>
  <si>
    <t>Erro na coluna responsável. Erro nas páginas</t>
  </si>
  <si>
    <t>Power BI - DAX</t>
  </si>
  <si>
    <t>Aulas sobre AWS e Análise de dados</t>
  </si>
  <si>
    <t>Finalização e validação do painel</t>
  </si>
  <si>
    <t>Curso power bi capítulo 6</t>
  </si>
  <si>
    <t>Extração de dados para Ascom</t>
  </si>
  <si>
    <t xml:space="preserve">Junção das planilhas </t>
  </si>
  <si>
    <t>Reunião para validar os indicadores e atualização do 2024</t>
  </si>
  <si>
    <t>Reunião para veriifcar informações da pesquisa que será aplicada e como formatar o banco de dados</t>
  </si>
  <si>
    <t>Importando dados do Comex junto ao banco SQL</t>
  </si>
  <si>
    <t>Extração da base da RF - Empresas GO, segmento recliclagem, ativas</t>
  </si>
  <si>
    <t>Monitoramento</t>
  </si>
  <si>
    <t>Realização de backups de todas as bases do SQL server</t>
  </si>
  <si>
    <t>Auxilio no projeto Valorizza na extração de dados</t>
  </si>
  <si>
    <t>Envio de relatório para o Flavio sobre o status da coleta</t>
  </si>
  <si>
    <t>Conversa sobre o andamento do projeto com Nayara do IDETCH</t>
  </si>
  <si>
    <t>Reunião com o cliente</t>
  </si>
  <si>
    <t xml:space="preserve">Elaboração do relatório com detalhamento dos indicadores (Fonte, Banco, Dados obtidos e tratamento) </t>
  </si>
  <si>
    <t>Alinhamento e direcionamento da Equipe sobre os projetos</t>
  </si>
  <si>
    <t>Relatório Aprendiz - Evasão</t>
  </si>
  <si>
    <t>Estruturação do abnco e cronograma</t>
  </si>
  <si>
    <t>Curso IBGE</t>
  </si>
  <si>
    <t>Padronzação e tabulação dos dados</t>
  </si>
  <si>
    <t>Alinhamento sobre  projeto s -  FUNDEPEC e Observatório RS</t>
  </si>
  <si>
    <t>Tratamento da planilha</t>
  </si>
  <si>
    <t>Ultimas atualizações Painel Engie</t>
  </si>
  <si>
    <t>Tabulação dos dados e construção do relatório</t>
  </si>
  <si>
    <t>Últimas alterações do relatório</t>
  </si>
  <si>
    <t>Últimas alterações do Painel Serra Verde</t>
  </si>
  <si>
    <t>Auxilio no projeto Valorizza na extração de dados, validando consultas SQL e otimizando relatórios</t>
  </si>
  <si>
    <t>Correção de detalhes no painel</t>
  </si>
  <si>
    <t>Modelagem do painel cap06 curso de Power BI</t>
  </si>
  <si>
    <t>Elaboração do documento de Atualização dos indicadores</t>
  </si>
  <si>
    <t>Finalização do cap06 e início do cap07 curso de Power BI</t>
  </si>
  <si>
    <t>Modelagem painel cap07 curso de Power BI</t>
  </si>
  <si>
    <t>Finalização do Cap 5 do curso de BI</t>
  </si>
  <si>
    <t>Inicio do Cap 6 do curso de BI</t>
  </si>
  <si>
    <t>Formatação dos Relatorios do HGG</t>
  </si>
  <si>
    <t>Extração de dados do SNE para Bruno (Top120 empresas com mais TCEs)</t>
  </si>
  <si>
    <t>Preparação do Material de coleta</t>
  </si>
  <si>
    <t>Elaboração e envio de relatório do andamento do projeto para a Sandra</t>
  </si>
  <si>
    <t>Elaboração do relatório com gráficos feitos pela tabulação</t>
  </si>
  <si>
    <t>Continuidade ao Cap 6 do curso de BI</t>
  </si>
  <si>
    <t>Estruturação das amostras do HGG</t>
  </si>
  <si>
    <t>Alterações Painel Serra Verde</t>
  </si>
  <si>
    <t>Resolução cap07 curso power bi</t>
  </si>
  <si>
    <t>Ajustes finais para entrega.</t>
  </si>
  <si>
    <t>Curso DSA</t>
  </si>
  <si>
    <t>Auxílio nos ajustes finais</t>
  </si>
  <si>
    <t>Dados SNE - Demanda da área de IA</t>
  </si>
  <si>
    <t>Arrumando Ranking</t>
  </si>
  <si>
    <t>Arrumando filtro de média geral</t>
  </si>
  <si>
    <t>Alterações painel serra verde</t>
  </si>
  <si>
    <t>Extração de informações da RF (Empresas setor agropecuario, ativas, de Minaçu)</t>
  </si>
  <si>
    <t>Correção dos dados de CNAE da base da Receita Federal</t>
  </si>
  <si>
    <t>Reunião para alinhamento de Projetos (Fundepec, IFC, Rede Hemo)</t>
  </si>
  <si>
    <t>Impressão de todos os relatarios da rede EMO e HGG</t>
  </si>
  <si>
    <t>Alinhamento para a checagem dos relatorios da rede EMO e HGG</t>
  </si>
  <si>
    <t>Extração de empresas do segmento Industria</t>
  </si>
  <si>
    <t>Extração e Elaboração de dados da Inovação para a Ascom</t>
  </si>
  <si>
    <t>Curso de power bi cap07</t>
  </si>
  <si>
    <t>Alterações nos formulários de pesquisa</t>
  </si>
  <si>
    <t>Estruturação das amostras HGG e Rede Hemo, envio de e-mails alinhamentos gerais, ajustes de cronograma.</t>
  </si>
  <si>
    <t>Criando view de Educação baseada no Censo</t>
  </si>
  <si>
    <t>Reunião de alinhamento Projetos</t>
  </si>
  <si>
    <t xml:space="preserve">Migração das Tabelas para Bases novas </t>
  </si>
  <si>
    <t xml:space="preserve">Erro na tabela E M 24 </t>
  </si>
  <si>
    <t>Evento HUB Goiás</t>
  </si>
  <si>
    <t>Relatório consolidado do andamento do projeto</t>
  </si>
  <si>
    <t>Reunião de Alinhamento dos projetos</t>
  </si>
  <si>
    <t xml:space="preserve">Avaliação do relatório </t>
  </si>
  <si>
    <t xml:space="preserve">Envio da terceira listagem </t>
  </si>
  <si>
    <t xml:space="preserve">Randomização </t>
  </si>
  <si>
    <t>Adequação dos bancos de dados e criação de Views</t>
  </si>
  <si>
    <t>Curso Inovação Uni Industria</t>
  </si>
  <si>
    <t>Impressão de relatórios e preenchimento de crachás</t>
  </si>
  <si>
    <t>Em andamento</t>
  </si>
  <si>
    <t>Migração de tabelas</t>
  </si>
  <si>
    <t>Apresentação de projetos para o Gabriel</t>
  </si>
  <si>
    <t>Estruturando visual</t>
  </si>
  <si>
    <t>Curso IBGE modulo 2 e começo do 3</t>
  </si>
  <si>
    <t>Acompanhamento e coordenação das atividades do projeto</t>
  </si>
  <si>
    <t xml:space="preserve">Impressão de relatórios </t>
  </si>
  <si>
    <t>transcrição dos relatórios para o Forms</t>
  </si>
  <si>
    <t>Criação de Forms</t>
  </si>
  <si>
    <t>Curso de Engenheiro de dados</t>
  </si>
  <si>
    <t>Levantamento e análise dos indicadores com a equipe</t>
  </si>
  <si>
    <t>Reunião com equipe técnica da Fieg</t>
  </si>
  <si>
    <t>Validação e tratamendo da base para o projeto fieg</t>
  </si>
  <si>
    <t>Inclusão de informações de responsaveis e cargos nas planilhas do Aprendiz e Estagio</t>
  </si>
  <si>
    <t>Extração de empresas RF dos CNAEs de Fertilizante e Biocombustivel para o Neto.</t>
  </si>
  <si>
    <t>Juntando planilha de horas gastas pelo pesquisador</t>
  </si>
  <si>
    <t>Erro na E M 24 - HOME</t>
  </si>
  <si>
    <t>Erro na E M 24 - UNIDADE</t>
  </si>
  <si>
    <t>Inclusão de informações de responsaveis nas planilhas do Aprendiz e Estagio - Estruturando planilha para envio</t>
  </si>
  <si>
    <t>Extração de informações da RF para FIEG</t>
  </si>
  <si>
    <t>Acompanhamento da coleta de dados no HGG e Rede Hemo</t>
  </si>
  <si>
    <t>Curso Engenheiro de Dados</t>
  </si>
  <si>
    <t>Reunião de Alinhamento com a Gerência</t>
  </si>
  <si>
    <t>Auxílio a equipe para extração dos indicadores</t>
  </si>
  <si>
    <t>Reunião de alinhamento de projetos</t>
  </si>
  <si>
    <t>Extração de dados para Wenes</t>
  </si>
  <si>
    <t>Elaboração do Relatório do FUNDEPEC</t>
  </si>
  <si>
    <t>Reunião de alinhamento dos projetos</t>
  </si>
  <si>
    <t>Elaboração da documentação dos painéis</t>
  </si>
  <si>
    <t>Reunião de Projetos em Andamento</t>
  </si>
  <si>
    <t>Reunião de andamento de projeto Fundepec</t>
  </si>
  <si>
    <t>/</t>
  </si>
  <si>
    <t>Reunião de alinhamento do Projeto Painel de Gestão</t>
  </si>
  <si>
    <t>Extração de quantidade de estagiários e valor de bolsa das Prefeituras do estado de Goiás</t>
  </si>
  <si>
    <t>transcrição dos questionarios para o Forms</t>
  </si>
  <si>
    <t xml:space="preserve">impresão dos questionarios </t>
  </si>
  <si>
    <t>Inicio do relátório</t>
  </si>
  <si>
    <t>Envio da 4 lista de contatos para pesquisa FUNDEPEC</t>
  </si>
  <si>
    <t>Reunião Sobre Pesquisa Fundepec</t>
  </si>
  <si>
    <t>Reunião Sobre Painel de Gestão</t>
  </si>
  <si>
    <t xml:space="preserve">Ajustes na base e preparo para nova base de dados </t>
  </si>
  <si>
    <t xml:space="preserve">Reunião sobre painel e inicio de novo Layout </t>
  </si>
  <si>
    <t xml:space="preserve">Atualização das bases e mudança de fonte de dados </t>
  </si>
  <si>
    <t>Inicio do Novo Layout e importanção da nova bAse e novos Calculos</t>
  </si>
  <si>
    <t>Randomização de dados</t>
  </si>
  <si>
    <t>Ajuste de Visual</t>
  </si>
  <si>
    <t>Finalização de levatamento das bases para atualização</t>
  </si>
  <si>
    <t>Ajustes Paineis Serra Verde e Engie</t>
  </si>
  <si>
    <t xml:space="preserve">Criação da amostra dos questionarios no excel </t>
  </si>
  <si>
    <t>organização dos questionarios</t>
  </si>
  <si>
    <t>Extração de dados randomicos e auxilio nas correções de bases</t>
  </si>
  <si>
    <t xml:space="preserve">Implementar no Service/ Painel de Governança novo Link migrado para usuario do observatorio </t>
  </si>
  <si>
    <t>Bater  grade</t>
  </si>
  <si>
    <t xml:space="preserve">estruturação do relatorio </t>
  </si>
  <si>
    <t xml:space="preserve">Reuniao Halowen </t>
  </si>
  <si>
    <t>Ajustes cores Layout</t>
  </si>
  <si>
    <t>Randomização fundepec</t>
  </si>
  <si>
    <t>Reunião Halloween</t>
  </si>
  <si>
    <t xml:space="preserve">Curso de Python </t>
  </si>
  <si>
    <t>Organização dos questionarios novos e dos digitalizados</t>
  </si>
  <si>
    <t>Extração de dados randomicos</t>
  </si>
  <si>
    <t>Curso de Python</t>
  </si>
  <si>
    <t xml:space="preserve">Ajuste de visual Cores Perfil </t>
  </si>
  <si>
    <t>Analise de Base Saude para indicadores</t>
  </si>
  <si>
    <t>SIPAT</t>
  </si>
  <si>
    <t>Criação de Views</t>
  </si>
  <si>
    <t>Organização dos questinarios digitados</t>
  </si>
  <si>
    <t>Impressão  dos questionarios</t>
  </si>
  <si>
    <t>Relatório Prefeituras</t>
  </si>
  <si>
    <t>Auxilio nos ajustes e alterações das documentações</t>
  </si>
  <si>
    <t>Elaboração do template</t>
  </si>
  <si>
    <t xml:space="preserve">Elaboração do template </t>
  </si>
  <si>
    <t>reunião com os consultores e Humberto</t>
  </si>
  <si>
    <t>estruturação da coleta e cruzamento - matriz de correlação</t>
  </si>
  <si>
    <t>Elaboração do template e cruzamento dos dados</t>
  </si>
  <si>
    <t>Pesquisa dos Planos de Governo</t>
  </si>
  <si>
    <t>Palestra Simpat</t>
  </si>
  <si>
    <t>Criação de Views, Atualização de tabelas, inclusão de dados</t>
  </si>
  <si>
    <t>Ajuster de visual e Bases para atualziar</t>
  </si>
  <si>
    <t>Ajuste nas Bases para atualziação</t>
  </si>
  <si>
    <t xml:space="preserve">Elaboração  de documento para as prioridades </t>
  </si>
  <si>
    <t xml:space="preserve">Inicio analise da Base e desenvolvimento do Paienl </t>
  </si>
  <si>
    <t>Subindo bases para banco de dados</t>
  </si>
  <si>
    <t>Atualizando Receita Federal</t>
  </si>
  <si>
    <t>Tratamento de dados da base da Receita Federal</t>
  </si>
  <si>
    <t>Relatório para prospectar prefeituras</t>
  </si>
  <si>
    <t xml:space="preserve">Impressão  dos  questionarios </t>
  </si>
  <si>
    <t>Inserção de dados no banco</t>
  </si>
  <si>
    <t>Relatório Final</t>
  </si>
  <si>
    <t>Ajustes no banco e no Power query</t>
  </si>
  <si>
    <t>Insersão dos novos indicadores</t>
  </si>
  <si>
    <t>Extração de informações do repasse para o programa Escola de Tempo Integral</t>
  </si>
  <si>
    <t>Extração de Informações dos valores do IGD por municipio</t>
  </si>
  <si>
    <t>Organização dos questionarios</t>
  </si>
  <si>
    <t>Curso Engenheiro de dados</t>
  </si>
  <si>
    <t>Elaboração de relatório para prospecção</t>
  </si>
  <si>
    <t>Reavaliação dos indicadores</t>
  </si>
  <si>
    <t>Alterações no Painel Engie</t>
  </si>
  <si>
    <t>Alterações finais no painel</t>
  </si>
  <si>
    <t>atividades diversas dentro do PDE</t>
  </si>
  <si>
    <t>instruçao e acompanhamento  FUNDEPEC</t>
  </si>
  <si>
    <t>Tabulação rede Hemo</t>
  </si>
  <si>
    <t>Ajustes no Painel Mercado</t>
  </si>
  <si>
    <t>Criação de formulário</t>
  </si>
  <si>
    <t>Demonstração gráfica dos resultados</t>
  </si>
  <si>
    <t>Validação dos relatórios</t>
  </si>
  <si>
    <t xml:space="preserve">transcrição dos questionarios para o forms </t>
  </si>
  <si>
    <t>Aprendizado sobre llinguagem dax para power bi</t>
  </si>
  <si>
    <t xml:space="preserve">Impressão dos questionarios </t>
  </si>
  <si>
    <t>Curso de Power BI</t>
  </si>
  <si>
    <t>Extração dados RF CNAE fabricação de calçados</t>
  </si>
  <si>
    <t>Conferência do relatório</t>
  </si>
  <si>
    <t>Extração de dados da Receita atualizados e configurando serviços Amazon</t>
  </si>
  <si>
    <t>Relatório analisando principais pontos atendidos pelo painel</t>
  </si>
  <si>
    <t>Criação de página atendendo demandas da área</t>
  </si>
  <si>
    <t>Ajuda no tratamento dos dados</t>
  </si>
  <si>
    <t>Curso power bi</t>
  </si>
  <si>
    <t>Buscando corrigir erro da extração da Receita Federal na AWS</t>
  </si>
  <si>
    <t>Criação do relatório</t>
  </si>
  <si>
    <t>Ajustes finais no relatório</t>
  </si>
  <si>
    <t>Extração dados da Receita Federal</t>
  </si>
  <si>
    <t xml:space="preserve">Continuidade ao curso de Power BI </t>
  </si>
  <si>
    <t>Atualização da planilha do painel</t>
  </si>
  <si>
    <t xml:space="preserve">Ajustes no Painel </t>
  </si>
  <si>
    <t>Ajustes na planílha e no painel</t>
  </si>
  <si>
    <t>Campus Party - Palestras e atividades práticas</t>
  </si>
  <si>
    <t xml:space="preserve">Criação do novo analytics </t>
  </si>
  <si>
    <t>Missão Itália</t>
  </si>
  <si>
    <t>Alteração Painel Engie</t>
  </si>
  <si>
    <t>Relatório Rede Hemo</t>
  </si>
  <si>
    <t>Alteração de gráficos</t>
  </si>
  <si>
    <t>Criação de medidas</t>
  </si>
  <si>
    <t>Criação novo analytics</t>
  </si>
  <si>
    <t>Alteração Painel Serra Verde</t>
  </si>
  <si>
    <t xml:space="preserve">Criação de medidas e formatação do visual </t>
  </si>
  <si>
    <t>Estudo da estrutura da AWS para implementação de novas extrações</t>
  </si>
  <si>
    <t>Visual painel Serra Verde</t>
  </si>
  <si>
    <t>Auxilio área de Tecnologia da Informação em Consultas SQL para extração Valorizza</t>
  </si>
  <si>
    <t>Tabulação de nota T0, T1 e T2</t>
  </si>
  <si>
    <t>Criação de visual</t>
  </si>
  <si>
    <t>Evento FGM</t>
  </si>
  <si>
    <t>Estudo sobre API e como extrair dados do linkedin</t>
  </si>
  <si>
    <t>Viagem a Luziania para encerramento do projeto Escola do Futuro</t>
  </si>
  <si>
    <t xml:space="preserve">Criação dos graficos para o relatorio da serra verde </t>
  </si>
  <si>
    <t>Estudo sobre métodos mais eficientes de extrair dados do linkedin por API</t>
  </si>
  <si>
    <t>Criação de planejamento para 2025</t>
  </si>
  <si>
    <t>Curso do power bi</t>
  </si>
  <si>
    <t>Relacionamento de planílhas e criação de medidas</t>
  </si>
  <si>
    <t xml:space="preserve">Criação de medidas e tratamento dos dados </t>
  </si>
  <si>
    <t>Estudo sobre API para integrar os dados do marketing no power bi</t>
  </si>
  <si>
    <t>Construção do Painel Marketing junto com Artur e Antônio</t>
  </si>
  <si>
    <t>Atualização Painel Mercado e Painel Senai</t>
  </si>
  <si>
    <t>Criação de medidas e Formatação</t>
  </si>
  <si>
    <t>Criação do painel</t>
  </si>
  <si>
    <t xml:space="preserve">Formatação dos arquivos </t>
  </si>
  <si>
    <t>Leitura e analise do manual do PDE</t>
  </si>
  <si>
    <t>Leitura e Validação do manual do PDE</t>
  </si>
  <si>
    <t>Elaboração de word destinado à formalização das alterações e ajustes necessários.</t>
  </si>
  <si>
    <t xml:space="preserve">Revisão do Relatório </t>
  </si>
  <si>
    <t>Elaboração de power point para prefeituras</t>
  </si>
  <si>
    <t>Pesquisa de concorrentes</t>
  </si>
  <si>
    <t>Ajustes no Relatório</t>
  </si>
  <si>
    <t>Atualização dos dados das org.sociais</t>
  </si>
  <si>
    <t>Pesquisa Senai</t>
  </si>
  <si>
    <t>Relatório dos Municípios</t>
  </si>
  <si>
    <t xml:space="preserve">  06:00</t>
  </si>
  <si>
    <t>Tratamento da planilha das escolas</t>
  </si>
  <si>
    <t>Atividades internas idetch</t>
  </si>
  <si>
    <t>Reunião de alinhamento da área</t>
  </si>
  <si>
    <t>Identificação de municípios para implantação de Escola SESI em Goiás</t>
  </si>
  <si>
    <t>Reunião do projeto de benchmark para o observatorio</t>
  </si>
  <si>
    <t xml:space="preserve">Relatório IFC </t>
  </si>
  <si>
    <t>Pesquisa de metodologia de cálculo de ICMS</t>
  </si>
  <si>
    <t>Pesquisa de fotos das fachadas das escolas</t>
  </si>
  <si>
    <t>Ajustes no relatório benchmarking observaório</t>
  </si>
  <si>
    <t>Reunião de alinhamento ifc</t>
  </si>
  <si>
    <t>Ajustes dos dados no excel</t>
  </si>
  <si>
    <t>Curso de Power BI cap 8</t>
  </si>
  <si>
    <t>Apresentação</t>
  </si>
  <si>
    <t>Tabulação de planílha de pesquisa</t>
  </si>
  <si>
    <t>Cod Área</t>
  </si>
  <si>
    <t>Área Observatório</t>
  </si>
  <si>
    <t>Área</t>
  </si>
  <si>
    <t>Líder do Projeto</t>
  </si>
  <si>
    <t>Cod Projeto</t>
  </si>
  <si>
    <t>Lista do Projeto</t>
  </si>
  <si>
    <t>Data Início do Projeto</t>
  </si>
  <si>
    <t>Data Término do Projeto</t>
  </si>
  <si>
    <t>Total de Horas</t>
  </si>
  <si>
    <t>Total do Projeto (R$)</t>
  </si>
  <si>
    <t>Realizado (R$)</t>
  </si>
  <si>
    <t>Fonte de Recursos</t>
  </si>
  <si>
    <t>Classe</t>
  </si>
  <si>
    <t>Cliente Final</t>
  </si>
  <si>
    <t>Observatorio</t>
  </si>
  <si>
    <t>Inteligência de Dados</t>
  </si>
  <si>
    <t>Institucional</t>
  </si>
  <si>
    <t>OBSERVATORIO</t>
  </si>
  <si>
    <t>Perfil_dos_Municípios</t>
  </si>
  <si>
    <t>Inteligência Competitiva</t>
  </si>
  <si>
    <t>PDE_Serra_Verde</t>
  </si>
  <si>
    <t>IEL - PDF</t>
  </si>
  <si>
    <t>FIEG</t>
  </si>
  <si>
    <t xml:space="preserve">Banco de Dados </t>
  </si>
  <si>
    <t>SINDICATOS</t>
  </si>
  <si>
    <t>IEL - MERCADO</t>
  </si>
  <si>
    <t>IEL - SUPERINTENDÊNCIA</t>
  </si>
  <si>
    <t>Inteligência de Mercado</t>
  </si>
  <si>
    <t>Estudo</t>
  </si>
  <si>
    <t>Implantação_Amazon</t>
  </si>
  <si>
    <t>MTE_CAGED</t>
  </si>
  <si>
    <t>Panorama_Econômico</t>
  </si>
  <si>
    <t>Gestão</t>
  </si>
  <si>
    <t>Painel_de_Gestão</t>
  </si>
  <si>
    <t>Banco_de_Dados_Mineração</t>
  </si>
  <si>
    <t>Atualização_Painel_Mercado</t>
  </si>
  <si>
    <t>Mercado</t>
  </si>
  <si>
    <t>MERCADO</t>
  </si>
  <si>
    <t>Iniciativas_de_Mercados_CMs</t>
  </si>
  <si>
    <t>Projetos_e_Atividades_Internas</t>
  </si>
  <si>
    <t>Observatório_Nacional</t>
  </si>
  <si>
    <t>Planejamento</t>
  </si>
  <si>
    <t>Treinamentos_e_Capacitações</t>
  </si>
  <si>
    <t>Painel_Institucional_Superintendência</t>
  </si>
  <si>
    <t>Painel_Utilidades_Mercado</t>
  </si>
  <si>
    <t>Gestão_do_Conhecimento</t>
  </si>
  <si>
    <t>Gestão de Portfólio</t>
  </si>
  <si>
    <t>Gestão_de_Portfólio</t>
  </si>
  <si>
    <t>SESI</t>
  </si>
  <si>
    <t>Projeto_Agrodefesa</t>
  </si>
  <si>
    <t>Painel_Aprendizagem_SENAI</t>
  </si>
  <si>
    <t>Painel Sinduscon</t>
  </si>
  <si>
    <t>Painel_Sinduscon</t>
  </si>
  <si>
    <t>Não Iniciado</t>
  </si>
  <si>
    <t>Bússola da Inovação</t>
  </si>
  <si>
    <t>Bússola_da_Inovação</t>
  </si>
  <si>
    <t>Melhoria Diagnóstivo de Inovação</t>
  </si>
  <si>
    <t>Melhoria_Diagnóstivo_de_Inovação</t>
  </si>
  <si>
    <t>Menu_Editais_Observatório</t>
  </si>
  <si>
    <t>Painel Inove Mais Digital</t>
  </si>
  <si>
    <t>Painel_Inove_Mais_Digital</t>
  </si>
  <si>
    <t>Painel_dos_Sindicados_Diretoria</t>
  </si>
  <si>
    <t>Painel_NPS_Hospitais</t>
  </si>
  <si>
    <t>Demandas_Federação</t>
  </si>
  <si>
    <t>Pesquisa_Observatório_do_Rio_Grande_do_Sul_Construção_Civil</t>
  </si>
  <si>
    <t>Pesquisa_Idetch</t>
  </si>
  <si>
    <t>Painel_de_Governança</t>
  </si>
  <si>
    <t>IFC_Atualização2024</t>
  </si>
  <si>
    <t>COD</t>
  </si>
  <si>
    <t>Modelo de Contrato</t>
  </si>
  <si>
    <t>Colaboradores</t>
  </si>
  <si>
    <t>Função</t>
  </si>
  <si>
    <t>Carga horário diária</t>
  </si>
  <si>
    <t>Carga horário Mensal</t>
  </si>
  <si>
    <t>Valor Hora (R$)</t>
  </si>
  <si>
    <t>CLT</t>
  </si>
  <si>
    <t>Gerente</t>
  </si>
  <si>
    <t>Cientista de Dados</t>
  </si>
  <si>
    <t>Engenheiro de Dados</t>
  </si>
  <si>
    <t>Prestador</t>
  </si>
  <si>
    <t>Analista de BI</t>
  </si>
  <si>
    <t>Estagiário de T.I</t>
  </si>
  <si>
    <t>Analista de Pesquisa</t>
  </si>
  <si>
    <t>Analista de Relatório</t>
  </si>
  <si>
    <t>Estagiário</t>
  </si>
  <si>
    <t>Estagiário de Economia</t>
  </si>
  <si>
    <t>Nicoly Pacheco</t>
  </si>
  <si>
    <t>Estagiária de Economia</t>
  </si>
  <si>
    <t>Assistente de Dados</t>
  </si>
  <si>
    <t>Assistente de Projetos</t>
  </si>
  <si>
    <t>Correção</t>
  </si>
  <si>
    <t>IEL - APRENDIZ</t>
  </si>
  <si>
    <t>SENAI</t>
  </si>
  <si>
    <t>Fonte do Recurso</t>
  </si>
  <si>
    <t>Status</t>
  </si>
  <si>
    <t>Etapas Macro</t>
  </si>
  <si>
    <t>1</t>
  </si>
  <si>
    <t>O23</t>
  </si>
  <si>
    <t>Horas Estimadas</t>
  </si>
  <si>
    <t>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</si>
</sst>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_-[$R$-416]\ * #,##0.00_-;\-[$R$-416]\ * #,##0.00_-;_-[$R$-416]\ * &quot;-&quot;??_-;_-@_-"/>
  </numFmts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Docs-Calibri"/>
      <charset val="1"/>
    </font>
    <font>
      <sz val="11"/>
      <color rgb="FF44444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4" fontId="0" fillId="0" borderId="1" xfId="1" applyFont="1" applyBorder="1"/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3" borderId="0" xfId="0" applyFont="1" applyFill="1"/>
    <xf numFmtId="164" fontId="1" fillId="2" borderId="0" xfId="0" applyNumberFormat="1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5" xfId="0" applyBorder="1"/>
    <xf numFmtId="21" fontId="0" fillId="4" borderId="1" xfId="0" applyNumberFormat="1" applyFill="1" applyBorder="1" applyAlignment="1">
      <alignment horizontal="center" vertical="center"/>
    </xf>
    <xf numFmtId="0" fontId="0" fillId="0" borderId="7" xfId="0" applyBorder="1"/>
    <xf numFmtId="165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0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/>
    <xf numFmtId="0" fontId="4" fillId="0" borderId="3" xfId="0" applyFont="1" applyBorder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1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/>
    <xf numFmtId="0" fontId="0" fillId="5" borderId="1" xfId="0" applyFill="1" applyBorder="1"/>
    <xf numFmtId="20" fontId="0" fillId="0" borderId="11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9" xfId="0" applyBorder="1"/>
    <xf numFmtId="21" fontId="0" fillId="0" borderId="5" xfId="0" applyNumberFormat="1" applyBorder="1" applyAlignment="1">
      <alignment horizontal="center" vertical="center"/>
    </xf>
    <xf numFmtId="21" fontId="0" fillId="0" borderId="1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5" xfId="1" applyFont="1" applyBorder="1"/>
    <xf numFmtId="20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4" xfId="0" applyBorder="1"/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11" xfId="0" applyBorder="1" applyAlignment="1">
      <alignment wrapText="1"/>
    </xf>
    <xf numFmtId="0" fontId="9" fillId="0" borderId="0" xfId="0" applyFont="1"/>
    <xf numFmtId="0" fontId="0" fillId="0" borderId="1" xfId="0" applyBorder="1" applyAlignment="1">
      <alignment horizontal="left" vertical="center"/>
    </xf>
    <xf numFmtId="0" fontId="0" fillId="0" borderId="17" xfId="0" applyBorder="1"/>
    <xf numFmtId="0" fontId="0" fillId="0" borderId="7" xfId="0" applyBorder="1" applyAlignment="1">
      <alignment wrapText="1"/>
    </xf>
    <xf numFmtId="0" fontId="0" fillId="0" borderId="12" xfId="0" applyBorder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vertical="center"/>
    </xf>
    <xf numFmtId="0" fontId="0" fillId="5" borderId="0" xfId="0" applyFill="1"/>
    <xf numFmtId="0" fontId="0" fillId="0" borderId="9" xfId="0" applyBorder="1" applyAlignment="1">
      <alignment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0" fillId="6" borderId="25" xfId="0" applyFill="1" applyBorder="1"/>
    <xf numFmtId="46" fontId="0" fillId="0" borderId="3" xfId="0" applyNumberFormat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wrapText="1"/>
    </xf>
    <xf numFmtId="0" fontId="7" fillId="0" borderId="0" xfId="0" applyFont="1"/>
    <xf numFmtId="0" fontId="7" fillId="0" borderId="3" xfId="0" applyFont="1" applyBorder="1"/>
    <xf numFmtId="165" fontId="0" fillId="0" borderId="13" xfId="0" applyNumberFormat="1" applyBorder="1"/>
    <xf numFmtId="165" fontId="0" fillId="0" borderId="11" xfId="0" applyNumberFormat="1" applyBorder="1"/>
    <xf numFmtId="0" fontId="0" fillId="0" borderId="30" xfId="0" applyBorder="1"/>
    <xf numFmtId="0" fontId="7" fillId="0" borderId="7" xfId="0" applyFont="1" applyBorder="1"/>
    <xf numFmtId="0" fontId="0" fillId="0" borderId="21" xfId="0" applyBorder="1"/>
    <xf numFmtId="0" fontId="0" fillId="0" borderId="17" xfId="0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3" fillId="0" borderId="0" xfId="0" applyFont="1"/>
    <xf numFmtId="14" fontId="0" fillId="0" borderId="0" xfId="0" applyNumberFormat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6" fontId="0" fillId="0" borderId="7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1" fontId="0" fillId="0" borderId="9" xfId="0" applyNumberFormat="1" applyBorder="1" applyAlignment="1">
      <alignment horizontal="center" vertical="center"/>
    </xf>
    <xf numFmtId="21" fontId="0" fillId="0" borderId="7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14" fontId="5" fillId="0" borderId="3" xfId="0" applyNumberFormat="1" applyFont="1" applyBorder="1" applyAlignment="1">
      <alignment horizontal="center"/>
    </xf>
  </cellXfs>
  <cellStyles count="4">
    <cellStyle name="Moeda" xfId="1" builtinId="4"/>
    <cellStyle name="Moeda 2" xfId="2" xr:uid="{CF7B1193-B5CB-48F9-B559-93B24D2826AA}"/>
    <cellStyle name="Moeda 3" xfId="3" xr:uid="{EDA2A2FF-DADD-4890-B387-51F5BB63FCD5}"/>
    <cellStyle name="Normal" xfId="0" builtinId="0"/>
  </cellStyles>
  <dxfs count="7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theme="4" tint="0.39997558519241921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4A9DE-61F6-4337-9A30-3E66E66726F4}" name="o15d" displayName="o15d" ref="A1:A6" totalsRowShown="0" headerRowDxfId="73" tableBorderDxfId="72">
  <autoFilter ref="A1:A6" xr:uid="{DAA4A9DE-61F6-4337-9A30-3E66E66726F4}"/>
  <tableColumns count="1">
    <tableColumn id="1" xr3:uid="{78C17EC0-CFCA-4419-80E0-7CDC8F296255}" name="1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1C2D85-FAAC-4B29-BAB2-E878954A6C8D}" name="Projeto_Agrodefesa" displayName="Projeto_Agrodefesa" ref="I2:K12" totalsRowShown="0" headerRowDxfId="70" tableBorderDxfId="69">
  <autoFilter ref="I2:K12" xr:uid="{701C2D85-FAAC-4B29-BAB2-E878954A6C8D}"/>
  <tableColumns count="3">
    <tableColumn id="1" xr3:uid="{2CEAFA34-FB95-4B5E-95EC-F3A4EE4CBB35}" name="Nome do Projeto" dataDxfId="68"/>
    <tableColumn id="2" xr3:uid="{F852AF5D-B858-4AFA-BEA0-2248E6D12D7F}" name="Cod Projeto" dataDxfId="67"/>
    <tableColumn id="3" xr3:uid="{7148F521-7497-43C2-B53A-998E20C83D74}" name="Atividades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2823A1-AD13-4144-A41F-C93BB60D06A3}" name="PDE_Serra_Verde" displayName="PDE_Serra_Verde" ref="I15:K20" totalsRowShown="0" headerRowDxfId="65" dataDxfId="64" headerRowBorderDxfId="62" tableBorderDxfId="63" totalsRowBorderDxfId="61">
  <autoFilter ref="I15:K20" xr:uid="{5D2823A1-AD13-4144-A41F-C93BB60D06A3}"/>
  <tableColumns count="3">
    <tableColumn id="1" xr3:uid="{1A1FB9FA-FFD8-4816-9F07-74AF60FBD5D6}" name="Nome do Projeto" dataDxfId="60"/>
    <tableColumn id="2" xr3:uid="{791FDEC0-255C-4E6B-876C-ABBDF6516B6D}" name="Cod Projeto" dataDxfId="59"/>
    <tableColumn id="3" xr3:uid="{FF64531E-A15B-48EA-9969-C3C68ACE5815}" name="Atividades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051B6D-5F0C-49D7-979C-45A0C8716C40}" name="Implantação_Amazon" displayName="Implantação_Amazon" ref="M2:O6" totalsRowShown="0" headerRowDxfId="57" headerRowBorderDxfId="55" tableBorderDxfId="56">
  <autoFilter ref="M2:O6" xr:uid="{15051B6D-5F0C-49D7-979C-45A0C8716C40}"/>
  <tableColumns count="3">
    <tableColumn id="1" xr3:uid="{103A378F-2670-4086-9AA7-9AD4C5FEBFBF}" name="Nome do Projeto"/>
    <tableColumn id="2" xr3:uid="{AD7217D1-03B4-43DD-9B4F-36EB15A423A1}" name="Cod Projeto" dataDxfId="54"/>
    <tableColumn id="3" xr3:uid="{2FFB9970-973F-4CDD-8A94-D704107D7248}" name="Atividad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F9663C-0298-49B3-B32B-4EBACCB24760}" name="MTE_CAGED" displayName="MTE_CAGED" ref="M8:O13" totalsRowShown="0" headerRowDxfId="53" headerRowBorderDxfId="51" tableBorderDxfId="52">
  <autoFilter ref="M8:O13" xr:uid="{A2F9663C-0298-49B3-B32B-4EBACCB24760}"/>
  <tableColumns count="3">
    <tableColumn id="1" xr3:uid="{E581B94F-FF7F-47EC-913C-F08B07110D63}" name="Nome do Projeto"/>
    <tableColumn id="2" xr3:uid="{A909BF39-3BD2-430E-A95B-2557A90DFDDD}" name="Cod Projeto" dataDxfId="50"/>
    <tableColumn id="3" xr3:uid="{4B2BDAF5-C76C-4D5D-ADBB-CCCD61C8CC58}" name="Atividad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9B0500-D0E9-4374-88BD-404817D0E3A4}" name="Panorama_Econômico" displayName="Panorama_Econômico" ref="M15:O17" totalsRowShown="0" headerRowDxfId="49" headerRowBorderDxfId="47" tableBorderDxfId="48">
  <autoFilter ref="M15:O17" xr:uid="{2B9B0500-D0E9-4374-88BD-404817D0E3A4}"/>
  <tableColumns count="3">
    <tableColumn id="1" xr3:uid="{6AD85392-AC1A-4D1F-BF47-92B224DD63EC}" name="Nome do Projeto"/>
    <tableColumn id="2" xr3:uid="{D6C89903-2F5B-4FA2-A489-1EF48C92A53C}" name="Cod Projeto" dataDxfId="46"/>
    <tableColumn id="3" xr3:uid="{D1ED05BD-FF65-46C7-87F7-D477308BE091}" name="Atividad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BB447F-A085-4BED-BB48-5D6D61E40CFD}" name="Painel_de_Gestão" displayName="Painel_de_Gestão" ref="M19:O24" totalsRowShown="0" headerRowDxfId="45" headerRowBorderDxfId="43" tableBorderDxfId="44">
  <autoFilter ref="M19:O24" xr:uid="{42BB447F-A085-4BED-BB48-5D6D61E40CFD}"/>
  <tableColumns count="3">
    <tableColumn id="1" xr3:uid="{502C8A96-EFA4-4D85-B129-83DF949340E7}" name="Nome do Projeto"/>
    <tableColumn id="2" xr3:uid="{F1DFA66A-9B65-4A49-AB4A-C4168C042CAB}" name="Cod Projeto" dataDxfId="42"/>
    <tableColumn id="3" xr3:uid="{C744A023-763F-4BF7-A095-F1E9AE26BF61}" name="Atividad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5D6B38-4F53-4EED-ADCF-1A7E99228133}" name="Banco_de_Dados_Mineração" displayName="Banco_de_Dados_Mineração" ref="Q2:S6" totalsRowShown="0" headerRowDxfId="41" headerRowBorderDxfId="39" tableBorderDxfId="40">
  <autoFilter ref="Q2:S6" xr:uid="{F15D6B38-4F53-4EED-ADCF-1A7E99228133}"/>
  <tableColumns count="3">
    <tableColumn id="1" xr3:uid="{5C04C425-CC73-44F2-9528-101194F6EEB0}" name="Nome do Projeto"/>
    <tableColumn id="2" xr3:uid="{49F258ED-87EA-4EC1-80DC-C6B6480BB619}" name="Cod Projeto"/>
    <tableColumn id="3" xr3:uid="{E58BD119-E853-4CDF-9FEA-5CD25B89E464}" name="Atividad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184959-DA48-4F61-A0AA-5E8420E6B0DD}" name="Atualização_Painel_Mercado" displayName="Atualização_Painel_Mercado" ref="Q8:S12" totalsRowShown="0" headerRowDxfId="38" headerRowBorderDxfId="36" tableBorderDxfId="37">
  <autoFilter ref="Q8:S12" xr:uid="{0E184959-DA48-4F61-A0AA-5E8420E6B0DD}"/>
  <tableColumns count="3">
    <tableColumn id="1" xr3:uid="{C07990F6-A0D4-436F-B3D6-852F18DFF009}" name="Nome do Projeto"/>
    <tableColumn id="2" xr3:uid="{F7EC80DA-5FA4-452B-8128-92AA9A26D250}" name="Cod Projeto"/>
    <tableColumn id="3" xr3:uid="{C5DD9516-D726-4E3C-9AE1-916F62C1F133}" name="Atividad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81B082-7619-4FD4-90FF-235E6CF6F2EB}" name="Iniciativas_de_Mercados_CMs" displayName="Iniciativas_de_Mercados_CMs" ref="Q14:S19" totalsRowShown="0" headerRowDxfId="35" headerRowBorderDxfId="33" tableBorderDxfId="34">
  <autoFilter ref="Q14:S19" xr:uid="{6181B082-7619-4FD4-90FF-235E6CF6F2EB}"/>
  <tableColumns count="3">
    <tableColumn id="1" xr3:uid="{BCB40272-B07A-4C67-B0E2-D4C521EB684D}" name="Nome do Projeto"/>
    <tableColumn id="2" xr3:uid="{AC785B9C-E996-4990-B887-08E110C1601B}" name="Cod Projeto" dataDxfId="32"/>
    <tableColumn id="3" xr3:uid="{3B8BEF0B-7C65-4392-BFF0-890101BCFFDA}" name="Atividad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DA8F6B-7CDF-4F0D-AB56-30A8CB1848B1}" name="Projetos_e_Atividades_Internas" displayName="Projetos_e_Atividades_Internas" ref="Q22:S26" totalsRowShown="0" headerRowDxfId="31" tableBorderDxfId="30">
  <autoFilter ref="Q22:S26" xr:uid="{ADDA8F6B-7CDF-4F0D-AB56-30A8CB1848B1}"/>
  <tableColumns count="3">
    <tableColumn id="1" xr3:uid="{17E3B02E-1E70-43CD-BACB-6DE8FCF6302C}" name="Nome do Projeto" dataDxfId="29"/>
    <tableColumn id="2" xr3:uid="{CCC24C60-C62B-4A58-8B18-63B0BC913493}" name="Cod Projeto" dataDxfId="28"/>
    <tableColumn id="3" xr3:uid="{B84DDD4C-BAEE-4B29-9A64-B61A2259C7DB}" name="Atividades" dataDxfId="2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665270-85FC-4138-B551-57FAEE28AFEC}" name="Observatório_Nacional" displayName="Observatório_Nacional" ref="U2:W5" totalsRowShown="0" headerRowDxfId="26" headerRowBorderDxfId="24" tableBorderDxfId="25">
  <autoFilter ref="U2:W5" xr:uid="{AB665270-85FC-4138-B551-57FAEE28AFEC}"/>
  <tableColumns count="3">
    <tableColumn id="1" xr3:uid="{6BB2B749-7169-4EEB-B3BF-7BB958739835}" name="Nome do Projeto"/>
    <tableColumn id="2" xr3:uid="{38EB1A15-B21F-43EA-B25C-4D804E34A062}" name="Cod Projeto" dataDxfId="23"/>
    <tableColumn id="3" xr3:uid="{0695FABE-8F71-4B25-B151-E5B42517DFF7}" name="Atividad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6C8206-D433-454D-A5F8-2973A78F3777}" name="Treinamentos_e_Capacitações" displayName="Treinamentos_e_Capacitações" ref="U7:W8" totalsRowShown="0" headerRowDxfId="22" headerRowBorderDxfId="20" tableBorderDxfId="21">
  <autoFilter ref="U7:W8" xr:uid="{E56C8206-D433-454D-A5F8-2973A78F3777}"/>
  <tableColumns count="3">
    <tableColumn id="1" xr3:uid="{1AC96793-B971-4B5F-90FD-5B6272333C55}" name="Nome do Projeto"/>
    <tableColumn id="2" xr3:uid="{433B2C56-88B9-4783-A81D-D99CD065DE95}" name="Cod Projeto" dataDxfId="19"/>
    <tableColumn id="3" xr3:uid="{49A978D0-4AB5-469E-8373-E81682CEB0FF}" name="Atividad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CF46F9-84A9-4743-8C0E-7EA9AB336AF5}" name="Painel_Institucional_Superintendência" displayName="Painel_Institucional_Superintendência" ref="U10:W12" totalsRowShown="0" headerRowDxfId="18" headerRowBorderDxfId="16" tableBorderDxfId="17">
  <autoFilter ref="U10:W12" xr:uid="{89CF46F9-84A9-4743-8C0E-7EA9AB336AF5}"/>
  <tableColumns count="3">
    <tableColumn id="1" xr3:uid="{F91536B3-B251-4A8A-ACE8-A68755239DDD}" name="Nome do Projeto"/>
    <tableColumn id="2" xr3:uid="{E5D0044E-B67E-45BB-8E7C-44EBE6B7210E}" name="Cod Projeto" dataDxfId="15"/>
    <tableColumn id="3" xr3:uid="{9CC9028B-15B4-4352-9029-0865599447A8}" name="Atividad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EFD7D6-CB2C-4E6D-8491-2DA51E1EB408}" name="Gestão_do_Conhecimento" displayName="Gestão_do_Conhecimento" ref="U14:W19" totalsRowShown="0" headerRowDxfId="14" headerRowBorderDxfId="12" tableBorderDxfId="13">
  <autoFilter ref="U14:W19" xr:uid="{55EFD7D6-CB2C-4E6D-8491-2DA51E1EB408}"/>
  <tableColumns count="3">
    <tableColumn id="1" xr3:uid="{CA35C295-A665-447A-96F9-A66A9627418A}" name="Nome do Projeto"/>
    <tableColumn id="2" xr3:uid="{5953BEA6-5FC1-4383-AAB1-AB26D822C238}" name="Cod Projeto" dataDxfId="11"/>
    <tableColumn id="3" xr3:uid="{F6C1166C-9FB1-445C-86FB-5705CB6D5975}" name="Atividad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7C0F87-9E35-458D-897C-785D2F055396}" name="Gestão_de_Portfólio" displayName="Gestão_de_Portfólio" ref="U21:W26" totalsRowShown="0" headerRowDxfId="10" headerRowBorderDxfId="8" tableBorderDxfId="9">
  <autoFilter ref="U21:W26" xr:uid="{AB7C0F87-9E35-458D-897C-785D2F055396}"/>
  <tableColumns count="3">
    <tableColumn id="1" xr3:uid="{F95D3A28-25BA-4E0E-868D-4744B0077270}" name="Nome do Projeto"/>
    <tableColumn id="2" xr3:uid="{94B40E9C-5FB4-41F6-9C40-EAD9ABDECE83}" name="Cod Projeto" dataDxfId="7"/>
    <tableColumn id="3" xr3:uid="{3DE98813-A0D5-4BF2-B7F4-8717C69199F9}" name="Atividad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4D1BDF-C0B3-4753-8447-559CA3AEAECD}" name="Demandas_Federação" displayName="Demandas_Federação" ref="I23:K31" totalsRowShown="0" headerRowDxfId="6" headerRowBorderDxfId="4" tableBorderDxfId="5" totalsRowBorderDxfId="3">
  <autoFilter ref="I23:K31" xr:uid="{454D1BDF-C0B3-4753-8447-559CA3AEAECD}"/>
  <tableColumns count="3">
    <tableColumn id="1" xr3:uid="{FECB67E1-806F-46D9-8C15-596F4ADC6B72}" name="Nome do Projeto" dataDxfId="2"/>
    <tableColumn id="2" xr3:uid="{06A06E99-3085-4253-AC24-42AE64EF6713}" name="Cod Projeto" dataDxfId="1"/>
    <tableColumn id="3" xr3:uid="{241D47B1-D2A6-44F6-8442-97F11E0F1EE2}" name="Atividad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237C-70E2-400C-AC84-942775EA5AF5}">
  <dimension ref="A1:K2108"/>
  <sheetViews>
    <sheetView tabSelected="1" zoomScaleNormal="100" workbookViewId="0">
      <pane ySplit="1" topLeftCell="A2" activePane="bottomLeft" state="frozen"/>
      <selection pane="bottomLeft" activeCell="C16" sqref="C16"/>
    </sheetView>
  </sheetViews>
  <sheetFormatPr defaultRowHeight="15"/>
  <cols>
    <col min="2" max="2" width="38" customWidth="1"/>
    <col min="3" max="3" width="13.42578125" customWidth="1"/>
    <col min="4" max="4" width="19.85546875" customWidth="1"/>
    <col min="5" max="5" width="37.28515625" customWidth="1"/>
    <col min="6" max="6" width="49.5703125" style="72" customWidth="1"/>
    <col min="7" max="7" width="16.7109375" customWidth="1"/>
    <col min="8" max="8" width="13.5703125" style="3" customWidth="1"/>
    <col min="9" max="9" width="10.5703125" style="3" customWidth="1"/>
    <col min="10" max="10" width="14.5703125" customWidth="1"/>
    <col min="11" max="11" width="18.28515625" customWidth="1"/>
  </cols>
  <sheetData>
    <row r="1" spans="2:11" ht="4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  <c r="J1" s="8" t="s">
        <v>8</v>
      </c>
      <c r="K1" s="8" t="s">
        <v>9</v>
      </c>
    </row>
    <row r="2" spans="2:11">
      <c r="B2" s="4" t="s">
        <v>10</v>
      </c>
      <c r="C2" s="5">
        <f>IF(B2&lt;&gt;"",VLOOKUP(B2,Projetos!E:F,2,0),"")</f>
        <v>2</v>
      </c>
      <c r="D2" s="5"/>
      <c r="E2" s="4" t="s">
        <v>11</v>
      </c>
      <c r="F2" s="69" t="s">
        <v>12</v>
      </c>
      <c r="G2" s="5" t="s">
        <v>13</v>
      </c>
      <c r="H2" s="10">
        <v>45301</v>
      </c>
      <c r="I2" s="21">
        <v>0.25</v>
      </c>
      <c r="J2" s="28" t="s">
        <v>14</v>
      </c>
      <c r="K2" s="22"/>
    </row>
    <row r="3" spans="2:11">
      <c r="B3" s="4" t="s">
        <v>15</v>
      </c>
      <c r="C3" s="5">
        <f>IF(B3&lt;&gt;"",VLOOKUP(B3,Projetos!E:F,2,0),"")</f>
        <v>10</v>
      </c>
      <c r="D3" s="5"/>
      <c r="E3" s="4" t="s">
        <v>16</v>
      </c>
      <c r="F3" s="69" t="s">
        <v>17</v>
      </c>
      <c r="G3" s="5" t="s">
        <v>18</v>
      </c>
      <c r="H3" s="10">
        <v>45301</v>
      </c>
      <c r="I3" s="25">
        <v>4.1666666666666664E-2</v>
      </c>
      <c r="J3" s="5" t="s">
        <v>14</v>
      </c>
      <c r="K3" s="22"/>
    </row>
    <row r="4" spans="2:11">
      <c r="B4" s="4" t="s">
        <v>15</v>
      </c>
      <c r="C4" s="5">
        <f>IF(B4&lt;&gt;"",VLOOKUP(B4,Projetos!E:F,2,0),"")</f>
        <v>10</v>
      </c>
      <c r="D4" s="5"/>
      <c r="E4" s="4" t="s">
        <v>16</v>
      </c>
      <c r="F4" s="69" t="s">
        <v>17</v>
      </c>
      <c r="G4" s="5" t="s">
        <v>19</v>
      </c>
      <c r="H4" s="10">
        <v>45301</v>
      </c>
      <c r="I4" s="25">
        <v>4.1666666666666664E-2</v>
      </c>
      <c r="J4" s="5" t="s">
        <v>14</v>
      </c>
      <c r="K4" s="22"/>
    </row>
    <row r="5" spans="2:11">
      <c r="B5" s="4" t="s">
        <v>10</v>
      </c>
      <c r="C5" s="5">
        <f>IF(B5&lt;&gt;"",VLOOKUP(B5,Projetos!E:F,2,0),"")</f>
        <v>2</v>
      </c>
      <c r="D5" s="5"/>
      <c r="E5" s="4" t="s">
        <v>11</v>
      </c>
      <c r="F5" s="69" t="s">
        <v>12</v>
      </c>
      <c r="G5" s="5" t="s">
        <v>13</v>
      </c>
      <c r="H5" s="10">
        <v>45302</v>
      </c>
      <c r="I5" s="21">
        <v>8.3333333333333329E-2</v>
      </c>
      <c r="J5" s="5" t="s">
        <v>14</v>
      </c>
      <c r="K5" s="22"/>
    </row>
    <row r="6" spans="2:11">
      <c r="B6" s="4" t="s">
        <v>10</v>
      </c>
      <c r="C6" s="5">
        <f>IF(B6&lt;&gt;"",VLOOKUP(B6,Projetos!E:F,2,0),"")</f>
        <v>2</v>
      </c>
      <c r="D6" s="5"/>
      <c r="E6" s="4" t="s">
        <v>11</v>
      </c>
      <c r="F6" s="69" t="s">
        <v>12</v>
      </c>
      <c r="G6" s="5" t="s">
        <v>20</v>
      </c>
      <c r="H6" s="10">
        <v>45302</v>
      </c>
      <c r="I6" s="21">
        <v>8.3333333333333329E-2</v>
      </c>
      <c r="J6" s="5" t="s">
        <v>14</v>
      </c>
      <c r="K6" s="22"/>
    </row>
    <row r="7" spans="2:11">
      <c r="B7" s="4" t="s">
        <v>10</v>
      </c>
      <c r="C7" s="5">
        <f>IF(B7&lt;&gt;"",VLOOKUP(B7,Projetos!E:F,2,0),"")</f>
        <v>2</v>
      </c>
      <c r="D7" s="5"/>
      <c r="E7" s="4" t="s">
        <v>21</v>
      </c>
      <c r="F7" s="69" t="s">
        <v>22</v>
      </c>
      <c r="G7" s="5" t="s">
        <v>13</v>
      </c>
      <c r="H7" s="10">
        <v>45302</v>
      </c>
      <c r="I7" s="21">
        <v>0.16666666666666666</v>
      </c>
      <c r="J7" s="5" t="s">
        <v>14</v>
      </c>
      <c r="K7" s="22"/>
    </row>
    <row r="8" spans="2:11">
      <c r="B8" s="4" t="s">
        <v>10</v>
      </c>
      <c r="C8" s="5">
        <f>IF(B8&lt;&gt;"",VLOOKUP(B8,Projetos!E:F,2,0),"")</f>
        <v>2</v>
      </c>
      <c r="D8" s="5"/>
      <c r="E8" s="4" t="s">
        <v>21</v>
      </c>
      <c r="F8" s="69" t="s">
        <v>22</v>
      </c>
      <c r="G8" s="5" t="s">
        <v>20</v>
      </c>
      <c r="H8" s="10">
        <v>45302</v>
      </c>
      <c r="I8" s="21">
        <v>8.3333333333333329E-2</v>
      </c>
      <c r="J8" s="5" t="s">
        <v>14</v>
      </c>
      <c r="K8" s="22"/>
    </row>
    <row r="9" spans="2:11">
      <c r="B9" s="4" t="s">
        <v>15</v>
      </c>
      <c r="C9" s="5">
        <f>IF(B9&lt;&gt;"",VLOOKUP(B9,Projetos!E:F,2,0),"")</f>
        <v>10</v>
      </c>
      <c r="D9" s="5"/>
      <c r="E9" s="4" t="s">
        <v>23</v>
      </c>
      <c r="F9" s="69" t="s">
        <v>24</v>
      </c>
      <c r="G9" s="5" t="s">
        <v>19</v>
      </c>
      <c r="H9" s="10">
        <v>45302</v>
      </c>
      <c r="I9" s="25">
        <v>0.33333333333333331</v>
      </c>
      <c r="J9" s="5" t="s">
        <v>14</v>
      </c>
      <c r="K9" s="22"/>
    </row>
    <row r="10" spans="2:11">
      <c r="B10" s="4" t="s">
        <v>15</v>
      </c>
      <c r="C10" s="5">
        <f>IF(B10&lt;&gt;"",VLOOKUP(B10,Projetos!E:F,2,0),"")</f>
        <v>10</v>
      </c>
      <c r="D10" s="5"/>
      <c r="E10" s="4" t="s">
        <v>25</v>
      </c>
      <c r="F10" s="69" t="s">
        <v>25</v>
      </c>
      <c r="G10" s="5" t="s">
        <v>18</v>
      </c>
      <c r="H10" s="10">
        <v>45302</v>
      </c>
      <c r="I10" s="25">
        <v>8.3333333333333329E-2</v>
      </c>
      <c r="J10" s="5" t="s">
        <v>14</v>
      </c>
      <c r="K10" s="22"/>
    </row>
    <row r="11" spans="2:11">
      <c r="B11" s="4" t="s">
        <v>10</v>
      </c>
      <c r="C11" s="5">
        <f>IF(B11&lt;&gt;"",VLOOKUP(B11,Projetos!E:F,2,0),"")</f>
        <v>2</v>
      </c>
      <c r="D11" s="5"/>
      <c r="E11" s="4" t="s">
        <v>26</v>
      </c>
      <c r="F11" s="69" t="s">
        <v>27</v>
      </c>
      <c r="G11" s="5" t="s">
        <v>28</v>
      </c>
      <c r="H11" s="10">
        <v>45303</v>
      </c>
      <c r="I11" s="21">
        <v>0.25</v>
      </c>
      <c r="J11" s="5" t="s">
        <v>14</v>
      </c>
      <c r="K11" s="22"/>
    </row>
    <row r="12" spans="2:11">
      <c r="B12" s="4" t="s">
        <v>15</v>
      </c>
      <c r="C12" s="5">
        <f>IF(B12&lt;&gt;"",VLOOKUP(B12,Projetos!E:F,2,0),"")</f>
        <v>10</v>
      </c>
      <c r="D12" s="5"/>
      <c r="E12" s="4" t="s">
        <v>26</v>
      </c>
      <c r="F12" s="69" t="s">
        <v>29</v>
      </c>
      <c r="G12" s="5" t="s">
        <v>13</v>
      </c>
      <c r="H12" s="10">
        <v>45303</v>
      </c>
      <c r="I12" s="25">
        <v>0.16666666666666666</v>
      </c>
      <c r="J12" s="5" t="s">
        <v>14</v>
      </c>
      <c r="K12" s="22"/>
    </row>
    <row r="13" spans="2:11">
      <c r="B13" s="4" t="s">
        <v>15</v>
      </c>
      <c r="C13" s="5">
        <f>IF(B13&lt;&gt;"",VLOOKUP(B13,Projetos!E:F,2,0),"")</f>
        <v>10</v>
      </c>
      <c r="D13" s="5"/>
      <c r="E13" s="4" t="s">
        <v>23</v>
      </c>
      <c r="F13" s="69" t="s">
        <v>24</v>
      </c>
      <c r="G13" s="5" t="s">
        <v>19</v>
      </c>
      <c r="H13" s="10">
        <v>45303</v>
      </c>
      <c r="I13" s="25">
        <v>0.33333333333333331</v>
      </c>
      <c r="J13" s="5" t="s">
        <v>14</v>
      </c>
      <c r="K13" s="22"/>
    </row>
    <row r="14" spans="2:11">
      <c r="B14" s="4" t="s">
        <v>15</v>
      </c>
      <c r="C14" s="5">
        <f>IF(B14&lt;&gt;"",VLOOKUP(B14,Projetos!E:F,2,0),"")</f>
        <v>10</v>
      </c>
      <c r="D14" s="5"/>
      <c r="E14" s="4" t="s">
        <v>25</v>
      </c>
      <c r="F14" s="69" t="s">
        <v>25</v>
      </c>
      <c r="G14" s="5" t="s">
        <v>18</v>
      </c>
      <c r="H14" s="10">
        <v>45303</v>
      </c>
      <c r="I14" s="25">
        <v>8.3333333333333329E-2</v>
      </c>
      <c r="J14" s="5" t="s">
        <v>14</v>
      </c>
      <c r="K14" s="22"/>
    </row>
    <row r="15" spans="2:11">
      <c r="B15" s="4" t="s">
        <v>10</v>
      </c>
      <c r="C15" s="5">
        <f>IF(B15&lt;&gt;"",VLOOKUP(B15,Projetos!E:F,2,0),"")</f>
        <v>2</v>
      </c>
      <c r="D15" s="5"/>
      <c r="E15" s="4" t="s">
        <v>26</v>
      </c>
      <c r="F15" s="69" t="s">
        <v>27</v>
      </c>
      <c r="G15" s="5" t="s">
        <v>28</v>
      </c>
      <c r="H15" s="10">
        <v>45306</v>
      </c>
      <c r="I15" s="21">
        <v>0.25</v>
      </c>
      <c r="J15" s="5" t="s">
        <v>14</v>
      </c>
      <c r="K15" s="22"/>
    </row>
    <row r="16" spans="2:11">
      <c r="B16" s="4" t="s">
        <v>15</v>
      </c>
      <c r="C16" s="5">
        <f>IF(B16&lt;&gt;"",VLOOKUP(B16,Projetos!E:F,2,0),"")</f>
        <v>10</v>
      </c>
      <c r="D16" s="5"/>
      <c r="E16" s="4" t="s">
        <v>26</v>
      </c>
      <c r="F16" s="69" t="s">
        <v>29</v>
      </c>
      <c r="G16" s="5" t="s">
        <v>13</v>
      </c>
      <c r="H16" s="10">
        <v>45306</v>
      </c>
      <c r="I16" s="25">
        <v>0.16666666666666666</v>
      </c>
      <c r="J16" s="5" t="s">
        <v>14</v>
      </c>
      <c r="K16" s="22"/>
    </row>
    <row r="17" spans="2:11">
      <c r="B17" s="4" t="s">
        <v>15</v>
      </c>
      <c r="C17" s="5">
        <f>IF(B17&lt;&gt;"",VLOOKUP(B17,Projetos!E:F,2,0),"")</f>
        <v>10</v>
      </c>
      <c r="D17" s="5"/>
      <c r="E17" s="4" t="s">
        <v>23</v>
      </c>
      <c r="F17" s="69" t="s">
        <v>24</v>
      </c>
      <c r="G17" s="5" t="s">
        <v>19</v>
      </c>
      <c r="H17" s="10">
        <v>45306</v>
      </c>
      <c r="I17" s="25">
        <v>0.33333333333333331</v>
      </c>
      <c r="J17" s="5" t="s">
        <v>14</v>
      </c>
      <c r="K17" s="22"/>
    </row>
    <row r="18" spans="2:11">
      <c r="B18" s="4" t="s">
        <v>15</v>
      </c>
      <c r="C18" s="5">
        <f>IF(B18&lt;&gt;"",VLOOKUP(B18,Projetos!E:F,2,0),"")</f>
        <v>10</v>
      </c>
      <c r="D18" s="5"/>
      <c r="E18" s="4" t="s">
        <v>25</v>
      </c>
      <c r="F18" s="69" t="s">
        <v>25</v>
      </c>
      <c r="G18" s="5" t="s">
        <v>18</v>
      </c>
      <c r="H18" s="10">
        <v>45306</v>
      </c>
      <c r="I18" s="25">
        <v>8.3333333333333329E-2</v>
      </c>
      <c r="J18" s="5" t="s">
        <v>14</v>
      </c>
      <c r="K18" s="22"/>
    </row>
    <row r="19" spans="2:11">
      <c r="B19" s="4" t="s">
        <v>30</v>
      </c>
      <c r="C19" s="5">
        <f>IF(B19&lt;&gt;"",VLOOKUP(B19,Projetos!E:F,2,0),"")</f>
        <v>13</v>
      </c>
      <c r="D19" s="5"/>
      <c r="E19" s="4" t="s">
        <v>31</v>
      </c>
      <c r="F19" s="70" t="s">
        <v>32</v>
      </c>
      <c r="G19" s="5" t="s">
        <v>13</v>
      </c>
      <c r="H19" s="10">
        <v>45306</v>
      </c>
      <c r="I19" s="25">
        <v>8.3333333333333329E-2</v>
      </c>
      <c r="J19" s="5" t="s">
        <v>14</v>
      </c>
      <c r="K19" s="22"/>
    </row>
    <row r="20" spans="2:11">
      <c r="B20" s="4" t="s">
        <v>10</v>
      </c>
      <c r="C20" s="5">
        <f>IF(B20&lt;&gt;"",VLOOKUP(B20,Projetos!E:F,2,0),"")</f>
        <v>2</v>
      </c>
      <c r="D20" s="28"/>
      <c r="E20" s="23" t="s">
        <v>26</v>
      </c>
      <c r="F20" s="71" t="s">
        <v>27</v>
      </c>
      <c r="G20" s="19" t="s">
        <v>28</v>
      </c>
      <c r="H20" s="10">
        <v>45307</v>
      </c>
      <c r="I20" s="21">
        <v>0.25</v>
      </c>
      <c r="J20" s="5" t="s">
        <v>14</v>
      </c>
      <c r="K20" s="22"/>
    </row>
    <row r="21" spans="2:11">
      <c r="B21" s="4" t="s">
        <v>15</v>
      </c>
      <c r="C21" s="5">
        <f>IF(B21&lt;&gt;"",VLOOKUP(B21,Projetos!E:F,2,0),"")</f>
        <v>10</v>
      </c>
      <c r="D21" s="5"/>
      <c r="E21" s="4" t="s">
        <v>26</v>
      </c>
      <c r="F21" s="72" t="s">
        <v>29</v>
      </c>
      <c r="G21" s="5" t="s">
        <v>13</v>
      </c>
      <c r="H21" s="10">
        <v>45307</v>
      </c>
      <c r="I21" s="25">
        <v>0.16666666666666666</v>
      </c>
      <c r="J21" s="5" t="s">
        <v>14</v>
      </c>
      <c r="K21" s="22"/>
    </row>
    <row r="22" spans="2:11">
      <c r="B22" s="4" t="s">
        <v>15</v>
      </c>
      <c r="C22" s="5">
        <f>IF(B22&lt;&gt;"",VLOOKUP(B22,Projetos!E:F,2,0),"")</f>
        <v>10</v>
      </c>
      <c r="D22" s="5"/>
      <c r="E22" s="4" t="s">
        <v>23</v>
      </c>
      <c r="F22" s="69" t="s">
        <v>24</v>
      </c>
      <c r="G22" s="5" t="s">
        <v>19</v>
      </c>
      <c r="H22" s="10">
        <v>45307</v>
      </c>
      <c r="I22" s="25">
        <v>0.33333333333333331</v>
      </c>
      <c r="J22" s="5" t="s">
        <v>14</v>
      </c>
      <c r="K22" s="22"/>
    </row>
    <row r="23" spans="2:11">
      <c r="B23" s="4" t="s">
        <v>15</v>
      </c>
      <c r="C23" s="5">
        <f>IF(B23&lt;&gt;"",VLOOKUP(B23,Projetos!E:F,2,0),"")</f>
        <v>10</v>
      </c>
      <c r="D23" s="5"/>
      <c r="E23" s="4" t="s">
        <v>25</v>
      </c>
      <c r="F23" s="69" t="s">
        <v>25</v>
      </c>
      <c r="G23" s="5" t="s">
        <v>18</v>
      </c>
      <c r="H23" s="10">
        <v>45307</v>
      </c>
      <c r="I23" s="25">
        <v>8.3333333333333329E-2</v>
      </c>
      <c r="J23" s="5" t="s">
        <v>14</v>
      </c>
      <c r="K23" s="22"/>
    </row>
    <row r="24" spans="2:11">
      <c r="B24" s="4" t="s">
        <v>30</v>
      </c>
      <c r="C24" s="5">
        <f>IF(B24&lt;&gt;"",VLOOKUP(B24,Projetos!E:F,2,0),"")</f>
        <v>13</v>
      </c>
      <c r="D24" s="5"/>
      <c r="E24" s="4" t="s">
        <v>31</v>
      </c>
      <c r="F24" s="69" t="s">
        <v>32</v>
      </c>
      <c r="G24" s="5" t="s">
        <v>13</v>
      </c>
      <c r="H24" s="10">
        <v>45307</v>
      </c>
      <c r="I24" s="25">
        <v>8.3333333333333329E-2</v>
      </c>
      <c r="J24" s="5" t="s">
        <v>14</v>
      </c>
      <c r="K24" s="22"/>
    </row>
    <row r="25" spans="2:11">
      <c r="B25" s="4" t="s">
        <v>10</v>
      </c>
      <c r="C25" s="5">
        <f>IF(B25&lt;&gt;"",VLOOKUP(B25,Projetos!E:F,2,0),"")</f>
        <v>2</v>
      </c>
      <c r="D25" s="5"/>
      <c r="E25" s="4" t="s">
        <v>26</v>
      </c>
      <c r="F25" s="69" t="s">
        <v>27</v>
      </c>
      <c r="G25" s="5" t="s">
        <v>28</v>
      </c>
      <c r="H25" s="10">
        <v>45308</v>
      </c>
      <c r="I25" s="21">
        <v>0.25</v>
      </c>
      <c r="J25" s="5" t="s">
        <v>14</v>
      </c>
      <c r="K25" s="22"/>
    </row>
    <row r="26" spans="2:11">
      <c r="B26" s="4" t="s">
        <v>15</v>
      </c>
      <c r="C26" s="5">
        <f>IF(B26&lt;&gt;"",VLOOKUP(B26,Projetos!E:F,2,0),"")</f>
        <v>10</v>
      </c>
      <c r="D26" s="5"/>
      <c r="E26" s="4" t="s">
        <v>26</v>
      </c>
      <c r="F26" s="69" t="s">
        <v>29</v>
      </c>
      <c r="G26" s="5" t="s">
        <v>13</v>
      </c>
      <c r="H26" s="10">
        <v>45308</v>
      </c>
      <c r="I26" s="25">
        <v>0.16666666666666666</v>
      </c>
      <c r="J26" s="5" t="s">
        <v>14</v>
      </c>
      <c r="K26" s="22"/>
    </row>
    <row r="27" spans="2:11">
      <c r="B27" s="4" t="s">
        <v>15</v>
      </c>
      <c r="C27" s="5">
        <f>IF(B27&lt;&gt;"",VLOOKUP(B27,Projetos!E:F,2,0),"")</f>
        <v>10</v>
      </c>
      <c r="D27" s="5"/>
      <c r="E27" s="4" t="s">
        <v>23</v>
      </c>
      <c r="F27" s="69" t="s">
        <v>24</v>
      </c>
      <c r="G27" s="5" t="s">
        <v>19</v>
      </c>
      <c r="H27" s="10">
        <v>45308</v>
      </c>
      <c r="I27" s="25">
        <v>0.33333333333333331</v>
      </c>
      <c r="J27" s="5" t="s">
        <v>14</v>
      </c>
      <c r="K27" s="22"/>
    </row>
    <row r="28" spans="2:11">
      <c r="B28" s="4" t="s">
        <v>15</v>
      </c>
      <c r="C28" s="5">
        <f>IF(B28&lt;&gt;"",VLOOKUP(B28,Projetos!E:F,2,0),"")</f>
        <v>10</v>
      </c>
      <c r="D28" s="5"/>
      <c r="E28" s="4" t="s">
        <v>25</v>
      </c>
      <c r="F28" s="69" t="s">
        <v>25</v>
      </c>
      <c r="G28" s="5" t="s">
        <v>18</v>
      </c>
      <c r="H28" s="10">
        <v>45308</v>
      </c>
      <c r="I28" s="25">
        <v>8.3333333333333329E-2</v>
      </c>
      <c r="J28" s="5" t="s">
        <v>14</v>
      </c>
      <c r="K28" s="22"/>
    </row>
    <row r="29" spans="2:11">
      <c r="B29" s="4" t="s">
        <v>30</v>
      </c>
      <c r="C29" s="5">
        <f>IF(B29&lt;&gt;"",VLOOKUP(B29,Projetos!E:F,2,0),"")</f>
        <v>13</v>
      </c>
      <c r="D29" s="5"/>
      <c r="E29" s="4" t="s">
        <v>31</v>
      </c>
      <c r="F29" s="69" t="s">
        <v>32</v>
      </c>
      <c r="G29" s="5" t="s">
        <v>13</v>
      </c>
      <c r="H29" s="10">
        <v>45308</v>
      </c>
      <c r="I29" s="25">
        <v>8.3333333333333329E-2</v>
      </c>
      <c r="J29" s="5" t="s">
        <v>14</v>
      </c>
      <c r="K29" s="22"/>
    </row>
    <row r="30" spans="2:11">
      <c r="B30" s="4" t="s">
        <v>10</v>
      </c>
      <c r="C30" s="5">
        <f>IF(B30&lt;&gt;"",VLOOKUP(B30,Projetos!E:F,2,0),"")</f>
        <v>2</v>
      </c>
      <c r="D30" s="5"/>
      <c r="E30" s="4" t="s">
        <v>26</v>
      </c>
      <c r="F30" s="69" t="s">
        <v>27</v>
      </c>
      <c r="G30" s="5" t="s">
        <v>28</v>
      </c>
      <c r="H30" s="10">
        <v>45309</v>
      </c>
      <c r="I30" s="21">
        <v>0.25</v>
      </c>
      <c r="J30" s="5" t="s">
        <v>14</v>
      </c>
      <c r="K30" s="22"/>
    </row>
    <row r="31" spans="2:11">
      <c r="B31" s="4" t="s">
        <v>15</v>
      </c>
      <c r="C31" s="5">
        <f>IF(B31&lt;&gt;"",VLOOKUP(B31,Projetos!E:F,2,0),"")</f>
        <v>10</v>
      </c>
      <c r="D31" s="5"/>
      <c r="E31" s="4" t="s">
        <v>26</v>
      </c>
      <c r="F31" s="69" t="s">
        <v>29</v>
      </c>
      <c r="G31" s="5" t="s">
        <v>13</v>
      </c>
      <c r="H31" s="10">
        <v>45309</v>
      </c>
      <c r="I31" s="25">
        <v>0.16666666666666666</v>
      </c>
      <c r="J31" s="5" t="s">
        <v>14</v>
      </c>
      <c r="K31" s="22"/>
    </row>
    <row r="32" spans="2:11">
      <c r="B32" s="4" t="s">
        <v>15</v>
      </c>
      <c r="C32" s="5">
        <f>IF(B32&lt;&gt;"",VLOOKUP(B32,Projetos!E:F,2,0),"")</f>
        <v>10</v>
      </c>
      <c r="D32" s="5"/>
      <c r="E32" s="4" t="s">
        <v>23</v>
      </c>
      <c r="F32" s="69" t="s">
        <v>24</v>
      </c>
      <c r="G32" s="5" t="s">
        <v>19</v>
      </c>
      <c r="H32" s="10">
        <v>45309</v>
      </c>
      <c r="I32" s="25">
        <v>0.33333333333333331</v>
      </c>
      <c r="J32" s="5" t="s">
        <v>14</v>
      </c>
      <c r="K32" s="22"/>
    </row>
    <row r="33" spans="2:11">
      <c r="B33" s="4" t="s">
        <v>15</v>
      </c>
      <c r="C33" s="5">
        <f>IF(B33&lt;&gt;"",VLOOKUP(B33,Projetos!E:F,2,0),"")</f>
        <v>10</v>
      </c>
      <c r="D33" s="5"/>
      <c r="E33" s="4" t="s">
        <v>25</v>
      </c>
      <c r="F33" s="69" t="s">
        <v>25</v>
      </c>
      <c r="G33" s="5" t="s">
        <v>18</v>
      </c>
      <c r="H33" s="10">
        <v>45309</v>
      </c>
      <c r="I33" s="25">
        <v>8.3333333333333329E-2</v>
      </c>
      <c r="J33" s="5" t="s">
        <v>14</v>
      </c>
      <c r="K33" s="22"/>
    </row>
    <row r="34" spans="2:11">
      <c r="B34" s="4" t="s">
        <v>30</v>
      </c>
      <c r="C34" s="5">
        <f>IF(B34&lt;&gt;"",VLOOKUP(B34,Projetos!E:F,2,0),"")</f>
        <v>13</v>
      </c>
      <c r="D34" s="5"/>
      <c r="E34" s="4" t="s">
        <v>31</v>
      </c>
      <c r="F34" s="69" t="s">
        <v>32</v>
      </c>
      <c r="G34" s="5" t="s">
        <v>13</v>
      </c>
      <c r="H34" s="10">
        <v>45309</v>
      </c>
      <c r="I34" s="25">
        <v>8.3333333333333329E-2</v>
      </c>
      <c r="J34" s="5" t="s">
        <v>14</v>
      </c>
      <c r="K34" s="22"/>
    </row>
    <row r="35" spans="2:11">
      <c r="B35" s="4" t="s">
        <v>33</v>
      </c>
      <c r="C35" s="5">
        <f>IF(B35&lt;&gt;"",VLOOKUP(B35,Projetos!E:F,2,0),"")</f>
        <v>18</v>
      </c>
      <c r="D35" s="5"/>
      <c r="E35" s="4" t="s">
        <v>21</v>
      </c>
      <c r="F35" s="69" t="s">
        <v>16</v>
      </c>
      <c r="G35" s="5" t="s">
        <v>34</v>
      </c>
      <c r="H35" s="10">
        <v>45309</v>
      </c>
      <c r="I35" s="21">
        <v>8.3333333333333329E-2</v>
      </c>
      <c r="J35" s="5" t="s">
        <v>14</v>
      </c>
      <c r="K35" s="22"/>
    </row>
    <row r="36" spans="2:11">
      <c r="B36" s="4" t="s">
        <v>10</v>
      </c>
      <c r="C36" s="5">
        <f>IF(B36&lt;&gt;"",VLOOKUP(B36,Projetos!E:F,2,0),"")</f>
        <v>2</v>
      </c>
      <c r="D36" s="5"/>
      <c r="E36" s="4" t="s">
        <v>26</v>
      </c>
      <c r="F36" s="69" t="s">
        <v>27</v>
      </c>
      <c r="G36" s="5" t="s">
        <v>28</v>
      </c>
      <c r="H36" s="10">
        <v>45310</v>
      </c>
      <c r="I36" s="21">
        <v>0.25</v>
      </c>
      <c r="J36" s="5" t="s">
        <v>14</v>
      </c>
      <c r="K36" s="22"/>
    </row>
    <row r="37" spans="2:11">
      <c r="B37" s="4" t="s">
        <v>15</v>
      </c>
      <c r="C37" s="5">
        <f>IF(B37&lt;&gt;"",VLOOKUP(B37,Projetos!E:F,2,0),"")</f>
        <v>10</v>
      </c>
      <c r="D37" s="5"/>
      <c r="E37" s="4" t="s">
        <v>26</v>
      </c>
      <c r="F37" s="69" t="s">
        <v>29</v>
      </c>
      <c r="G37" s="5" t="s">
        <v>13</v>
      </c>
      <c r="H37" s="10">
        <v>45310</v>
      </c>
      <c r="I37" s="25">
        <v>0.16666666666666666</v>
      </c>
      <c r="J37" s="5" t="s">
        <v>14</v>
      </c>
      <c r="K37" s="22"/>
    </row>
    <row r="38" spans="2:11">
      <c r="B38" s="4" t="s">
        <v>15</v>
      </c>
      <c r="C38" s="5">
        <f>IF(B38&lt;&gt;"",VLOOKUP(B38,Projetos!E:F,2,0),"")</f>
        <v>10</v>
      </c>
      <c r="D38" s="5"/>
      <c r="E38" s="4" t="s">
        <v>23</v>
      </c>
      <c r="F38" s="69" t="s">
        <v>24</v>
      </c>
      <c r="G38" s="5" t="s">
        <v>19</v>
      </c>
      <c r="H38" s="10">
        <v>45310</v>
      </c>
      <c r="I38" s="25">
        <v>0.33333333333333331</v>
      </c>
      <c r="J38" s="5" t="s">
        <v>14</v>
      </c>
      <c r="K38" s="22"/>
    </row>
    <row r="39" spans="2:11">
      <c r="B39" s="4" t="s">
        <v>15</v>
      </c>
      <c r="C39" s="5">
        <f>IF(B39&lt;&gt;"",VLOOKUP(B39,Projetos!E:F,2,0),"")</f>
        <v>10</v>
      </c>
      <c r="D39" s="5"/>
      <c r="E39" s="4" t="s">
        <v>25</v>
      </c>
      <c r="F39" s="69" t="s">
        <v>25</v>
      </c>
      <c r="G39" s="5" t="s">
        <v>18</v>
      </c>
      <c r="H39" s="10">
        <v>45310</v>
      </c>
      <c r="I39" s="25">
        <v>8.3333333333333329E-2</v>
      </c>
      <c r="J39" s="5" t="s">
        <v>14</v>
      </c>
      <c r="K39" s="22"/>
    </row>
    <row r="40" spans="2:11">
      <c r="B40" s="4" t="s">
        <v>30</v>
      </c>
      <c r="C40" s="5">
        <f>IF(B40&lt;&gt;"",VLOOKUP(B40,Projetos!E:F,2,0),"")</f>
        <v>13</v>
      </c>
      <c r="D40" s="5"/>
      <c r="E40" s="4" t="s">
        <v>31</v>
      </c>
      <c r="F40" s="69" t="s">
        <v>32</v>
      </c>
      <c r="G40" s="5" t="s">
        <v>13</v>
      </c>
      <c r="H40" s="10">
        <v>45310</v>
      </c>
      <c r="I40" s="25">
        <v>8.3333333333333329E-2</v>
      </c>
      <c r="J40" s="5" t="s">
        <v>14</v>
      </c>
      <c r="K40" s="22"/>
    </row>
    <row r="41" spans="2:11">
      <c r="B41" s="4" t="s">
        <v>10</v>
      </c>
      <c r="C41" s="5">
        <f>IF(B41&lt;&gt;"",VLOOKUP(B41,Projetos!E:F,2,0),"")</f>
        <v>2</v>
      </c>
      <c r="D41" s="5"/>
      <c r="E41" s="4" t="s">
        <v>26</v>
      </c>
      <c r="F41" s="69" t="s">
        <v>27</v>
      </c>
      <c r="G41" s="5" t="s">
        <v>28</v>
      </c>
      <c r="H41" s="10">
        <v>45313</v>
      </c>
      <c r="I41" s="21">
        <v>0.25</v>
      </c>
      <c r="J41" s="5" t="s">
        <v>14</v>
      </c>
      <c r="K41" s="22"/>
    </row>
    <row r="42" spans="2:11">
      <c r="B42" s="4" t="s">
        <v>35</v>
      </c>
      <c r="C42" s="5">
        <f>IF(B42&lt;&gt;"",VLOOKUP(B42,Projetos!E:F,2,0),"")</f>
        <v>9</v>
      </c>
      <c r="D42" s="5"/>
      <c r="E42" s="4" t="s">
        <v>16</v>
      </c>
      <c r="F42" s="69" t="s">
        <v>36</v>
      </c>
      <c r="G42" s="5" t="s">
        <v>20</v>
      </c>
      <c r="H42" s="10">
        <v>45313</v>
      </c>
      <c r="I42" s="21">
        <v>4.1666666666666664E-2</v>
      </c>
      <c r="J42" s="5" t="s">
        <v>14</v>
      </c>
      <c r="K42" s="22"/>
    </row>
    <row r="43" spans="2:11">
      <c r="B43" s="4" t="s">
        <v>35</v>
      </c>
      <c r="C43" s="5">
        <f>IF(B43&lt;&gt;"",VLOOKUP(B43,Projetos!E:F,2,0),"")</f>
        <v>9</v>
      </c>
      <c r="D43" s="5"/>
      <c r="E43" s="4" t="s">
        <v>16</v>
      </c>
      <c r="F43" s="69" t="s">
        <v>36</v>
      </c>
      <c r="G43" s="5" t="s">
        <v>18</v>
      </c>
      <c r="H43" s="10">
        <v>45313</v>
      </c>
      <c r="I43" s="21">
        <v>4.1666666666666664E-2</v>
      </c>
      <c r="J43" s="5" t="s">
        <v>14</v>
      </c>
      <c r="K43" s="22"/>
    </row>
    <row r="44" spans="2:11">
      <c r="B44" s="4" t="s">
        <v>15</v>
      </c>
      <c r="C44" s="5">
        <f>IF(B44&lt;&gt;"",VLOOKUP(B44,Projetos!E:F,2,0),"")</f>
        <v>10</v>
      </c>
      <c r="D44" s="5"/>
      <c r="E44" s="4" t="s">
        <v>26</v>
      </c>
      <c r="F44" s="69" t="s">
        <v>29</v>
      </c>
      <c r="G44" s="5" t="s">
        <v>13</v>
      </c>
      <c r="H44" s="10">
        <v>45313</v>
      </c>
      <c r="I44" s="25">
        <v>0.16666666666666666</v>
      </c>
      <c r="J44" s="5" t="s">
        <v>14</v>
      </c>
      <c r="K44" s="22"/>
    </row>
    <row r="45" spans="2:11">
      <c r="B45" s="4" t="s">
        <v>15</v>
      </c>
      <c r="C45" s="5">
        <f>IF(B45&lt;&gt;"",VLOOKUP(B45,Projetos!E:F,2,0),"")</f>
        <v>10</v>
      </c>
      <c r="D45" s="5"/>
      <c r="E45" s="4" t="s">
        <v>23</v>
      </c>
      <c r="F45" s="69" t="s">
        <v>24</v>
      </c>
      <c r="G45" s="5" t="s">
        <v>19</v>
      </c>
      <c r="H45" s="10">
        <v>45313</v>
      </c>
      <c r="I45" s="25">
        <v>0.33333333333333331</v>
      </c>
      <c r="J45" s="5" t="s">
        <v>14</v>
      </c>
      <c r="K45" s="22"/>
    </row>
    <row r="46" spans="2:11">
      <c r="B46" s="4" t="s">
        <v>15</v>
      </c>
      <c r="C46" s="5">
        <f>IF(B46&lt;&gt;"",VLOOKUP(B46,Projetos!E:F,2,0),"")</f>
        <v>10</v>
      </c>
      <c r="D46" s="5"/>
      <c r="E46" s="4" t="s">
        <v>25</v>
      </c>
      <c r="F46" s="69" t="s">
        <v>25</v>
      </c>
      <c r="G46" s="5" t="s">
        <v>18</v>
      </c>
      <c r="H46" s="10">
        <v>45313</v>
      </c>
      <c r="I46" s="25">
        <v>8.3333333333333329E-2</v>
      </c>
      <c r="J46" s="5" t="s">
        <v>14</v>
      </c>
      <c r="K46" s="22"/>
    </row>
    <row r="47" spans="2:11">
      <c r="B47" s="4" t="s">
        <v>30</v>
      </c>
      <c r="C47" s="5">
        <f>IF(B47&lt;&gt;"",VLOOKUP(B47,Projetos!E:F,2,0),"")</f>
        <v>13</v>
      </c>
      <c r="D47" s="5"/>
      <c r="E47" s="4" t="s">
        <v>31</v>
      </c>
      <c r="F47" s="69" t="s">
        <v>32</v>
      </c>
      <c r="G47" s="5" t="s">
        <v>13</v>
      </c>
      <c r="H47" s="10">
        <v>45313</v>
      </c>
      <c r="I47" s="25">
        <v>8.3333333333333329E-2</v>
      </c>
      <c r="J47" s="5" t="s">
        <v>14</v>
      </c>
      <c r="K47" s="22"/>
    </row>
    <row r="48" spans="2:11">
      <c r="B48" s="4" t="s">
        <v>10</v>
      </c>
      <c r="C48" s="5">
        <f>IF(B48&lt;&gt;"",VLOOKUP(B48,Projetos!E:F,2,0),"")</f>
        <v>2</v>
      </c>
      <c r="D48" s="5"/>
      <c r="E48" s="4" t="s">
        <v>26</v>
      </c>
      <c r="F48" s="69" t="s">
        <v>27</v>
      </c>
      <c r="G48" s="5" t="s">
        <v>28</v>
      </c>
      <c r="H48" s="10">
        <v>45314</v>
      </c>
      <c r="I48" s="21">
        <v>0.25</v>
      </c>
      <c r="J48" s="5" t="s">
        <v>14</v>
      </c>
      <c r="K48" s="22"/>
    </row>
    <row r="49" spans="2:11">
      <c r="B49" s="4" t="s">
        <v>35</v>
      </c>
      <c r="C49" s="5">
        <f>IF(B49&lt;&gt;"",VLOOKUP(B49,Projetos!E:F,2,0),"")</f>
        <v>9</v>
      </c>
      <c r="D49" s="5"/>
      <c r="E49" s="4" t="s">
        <v>21</v>
      </c>
      <c r="F49" s="69" t="s">
        <v>37</v>
      </c>
      <c r="G49" s="5" t="s">
        <v>20</v>
      </c>
      <c r="H49" s="10">
        <v>45314</v>
      </c>
      <c r="I49" s="21">
        <v>0.125</v>
      </c>
      <c r="J49" s="5" t="s">
        <v>14</v>
      </c>
      <c r="K49" s="22"/>
    </row>
    <row r="50" spans="2:11">
      <c r="B50" s="4" t="s">
        <v>15</v>
      </c>
      <c r="C50" s="5">
        <f>IF(B50&lt;&gt;"",VLOOKUP(B50,Projetos!E:F,2,0),"")</f>
        <v>10</v>
      </c>
      <c r="D50" s="5"/>
      <c r="E50" s="4" t="s">
        <v>26</v>
      </c>
      <c r="F50" s="69" t="s">
        <v>29</v>
      </c>
      <c r="G50" s="5" t="s">
        <v>13</v>
      </c>
      <c r="H50" s="10">
        <v>45314</v>
      </c>
      <c r="I50" s="25">
        <v>0.16666666666666666</v>
      </c>
      <c r="J50" s="5" t="s">
        <v>14</v>
      </c>
      <c r="K50" s="22"/>
    </row>
    <row r="51" spans="2:11">
      <c r="B51" s="4" t="s">
        <v>15</v>
      </c>
      <c r="C51" s="5">
        <f>IF(B51&lt;&gt;"",VLOOKUP(B51,Projetos!E:F,2,0),"")</f>
        <v>10</v>
      </c>
      <c r="D51" s="5"/>
      <c r="E51" s="4" t="s">
        <v>23</v>
      </c>
      <c r="F51" s="69" t="s">
        <v>24</v>
      </c>
      <c r="G51" s="5" t="s">
        <v>19</v>
      </c>
      <c r="H51" s="10">
        <v>45314</v>
      </c>
      <c r="I51" s="25">
        <v>0.33333333333333331</v>
      </c>
      <c r="J51" s="5" t="s">
        <v>14</v>
      </c>
      <c r="K51" s="22"/>
    </row>
    <row r="52" spans="2:11">
      <c r="B52" s="4" t="s">
        <v>15</v>
      </c>
      <c r="C52" s="5">
        <f>IF(B52&lt;&gt;"",VLOOKUP(B52,Projetos!E:F,2,0),"")</f>
        <v>10</v>
      </c>
      <c r="D52" s="5"/>
      <c r="E52" s="4" t="s">
        <v>25</v>
      </c>
      <c r="F52" s="69" t="s">
        <v>25</v>
      </c>
      <c r="G52" s="5" t="s">
        <v>18</v>
      </c>
      <c r="H52" s="10">
        <v>45314</v>
      </c>
      <c r="I52" s="25">
        <v>8.3333333333333329E-2</v>
      </c>
      <c r="J52" s="5" t="s">
        <v>14</v>
      </c>
      <c r="K52" s="22"/>
    </row>
    <row r="53" spans="2:11">
      <c r="B53" s="4" t="s">
        <v>30</v>
      </c>
      <c r="C53" s="5">
        <f>IF(B53&lt;&gt;"",VLOOKUP(B53,Projetos!E:F,2,0),"")</f>
        <v>13</v>
      </c>
      <c r="D53" s="5"/>
      <c r="E53" s="4" t="s">
        <v>31</v>
      </c>
      <c r="F53" s="69" t="s">
        <v>32</v>
      </c>
      <c r="G53" s="5" t="s">
        <v>13</v>
      </c>
      <c r="H53" s="10">
        <v>45314</v>
      </c>
      <c r="I53" s="25">
        <v>8.3333333333333329E-2</v>
      </c>
      <c r="J53" s="5" t="s">
        <v>14</v>
      </c>
      <c r="K53" s="22"/>
    </row>
    <row r="54" spans="2:11">
      <c r="B54" s="4" t="s">
        <v>10</v>
      </c>
      <c r="C54" s="5">
        <f>IF(B54&lt;&gt;"",VLOOKUP(B54,Projetos!E:F,2,0),"")</f>
        <v>2</v>
      </c>
      <c r="D54" s="5"/>
      <c r="E54" s="4" t="s">
        <v>26</v>
      </c>
      <c r="F54" s="69" t="s">
        <v>27</v>
      </c>
      <c r="G54" s="5" t="s">
        <v>28</v>
      </c>
      <c r="H54" s="10">
        <v>45315</v>
      </c>
      <c r="I54" s="21">
        <v>0.25</v>
      </c>
      <c r="J54" s="5" t="s">
        <v>14</v>
      </c>
      <c r="K54" s="22"/>
    </row>
    <row r="55" spans="2:11">
      <c r="B55" s="4" t="s">
        <v>15</v>
      </c>
      <c r="C55" s="5">
        <f>IF(B55&lt;&gt;"",VLOOKUP(B55,Projetos!E:F,2,0),"")</f>
        <v>10</v>
      </c>
      <c r="D55" s="5"/>
      <c r="E55" s="4" t="s">
        <v>26</v>
      </c>
      <c r="F55" s="69" t="s">
        <v>29</v>
      </c>
      <c r="G55" s="5" t="s">
        <v>13</v>
      </c>
      <c r="H55" s="10">
        <v>45315</v>
      </c>
      <c r="I55" s="25">
        <v>0.16666666666666666</v>
      </c>
      <c r="J55" s="5" t="s">
        <v>14</v>
      </c>
      <c r="K55" s="22"/>
    </row>
    <row r="56" spans="2:11">
      <c r="B56" s="4" t="s">
        <v>15</v>
      </c>
      <c r="C56" s="5">
        <f>IF(B56&lt;&gt;"",VLOOKUP(B56,Projetos!E:F,2,0),"")</f>
        <v>10</v>
      </c>
      <c r="D56" s="5"/>
      <c r="E56" s="4" t="s">
        <v>23</v>
      </c>
      <c r="F56" s="69" t="s">
        <v>24</v>
      </c>
      <c r="G56" s="5" t="s">
        <v>19</v>
      </c>
      <c r="H56" s="10">
        <v>45315</v>
      </c>
      <c r="I56" s="25">
        <v>0.33333333333333331</v>
      </c>
      <c r="J56" s="5" t="s">
        <v>14</v>
      </c>
      <c r="K56" s="22"/>
    </row>
    <row r="57" spans="2:11">
      <c r="B57" s="4" t="s">
        <v>15</v>
      </c>
      <c r="C57" s="5">
        <f>IF(B57&lt;&gt;"",VLOOKUP(B57,Projetos!E:F,2,0),"")</f>
        <v>10</v>
      </c>
      <c r="D57" s="5"/>
      <c r="E57" s="4" t="s">
        <v>25</v>
      </c>
      <c r="F57" s="69" t="s">
        <v>25</v>
      </c>
      <c r="G57" s="5" t="s">
        <v>18</v>
      </c>
      <c r="H57" s="10">
        <v>45315</v>
      </c>
      <c r="I57" s="25">
        <v>8.3333333333333329E-2</v>
      </c>
      <c r="J57" s="5" t="s">
        <v>14</v>
      </c>
      <c r="K57" s="22"/>
    </row>
    <row r="58" spans="2:11">
      <c r="B58" s="4" t="s">
        <v>30</v>
      </c>
      <c r="C58" s="5">
        <f>IF(B58&lt;&gt;"",VLOOKUP(B58,Projetos!E:F,2,0),"")</f>
        <v>13</v>
      </c>
      <c r="D58" s="5"/>
      <c r="E58" s="4" t="s">
        <v>31</v>
      </c>
      <c r="F58" s="69" t="s">
        <v>32</v>
      </c>
      <c r="G58" s="5" t="s">
        <v>13</v>
      </c>
      <c r="H58" s="10">
        <v>45315</v>
      </c>
      <c r="I58" s="25">
        <v>8.3333333333333329E-2</v>
      </c>
      <c r="J58" s="5" t="s">
        <v>14</v>
      </c>
      <c r="K58" s="22"/>
    </row>
    <row r="59" spans="2:11">
      <c r="B59" s="4" t="s">
        <v>10</v>
      </c>
      <c r="C59" s="5">
        <f>IF(B59&lt;&gt;"",VLOOKUP(B59,Projetos!E:F,2,0),"")</f>
        <v>2</v>
      </c>
      <c r="D59" s="5"/>
      <c r="E59" s="4" t="s">
        <v>26</v>
      </c>
      <c r="F59" s="69" t="s">
        <v>27</v>
      </c>
      <c r="G59" s="5" t="s">
        <v>28</v>
      </c>
      <c r="H59" s="10">
        <v>45316</v>
      </c>
      <c r="I59" s="21">
        <v>0.25</v>
      </c>
      <c r="J59" s="5" t="s">
        <v>14</v>
      </c>
      <c r="K59" s="22"/>
    </row>
    <row r="60" spans="2:11">
      <c r="B60" s="4" t="s">
        <v>15</v>
      </c>
      <c r="C60" s="5">
        <f>IF(B60&lt;&gt;"",VLOOKUP(B60,Projetos!E:F,2,0),"")</f>
        <v>10</v>
      </c>
      <c r="D60" s="5"/>
      <c r="E60" s="4" t="s">
        <v>26</v>
      </c>
      <c r="F60" s="69" t="s">
        <v>29</v>
      </c>
      <c r="G60" s="5" t="s">
        <v>13</v>
      </c>
      <c r="H60" s="10">
        <v>45316</v>
      </c>
      <c r="I60" s="25">
        <v>0.16666666666666666</v>
      </c>
      <c r="J60" s="5" t="s">
        <v>14</v>
      </c>
      <c r="K60" s="22"/>
    </row>
    <row r="61" spans="2:11">
      <c r="B61" s="4" t="s">
        <v>15</v>
      </c>
      <c r="C61" s="5">
        <f>IF(B61&lt;&gt;"",VLOOKUP(B61,Projetos!E:F,2,0),"")</f>
        <v>10</v>
      </c>
      <c r="D61" s="5"/>
      <c r="E61" s="4" t="s">
        <v>23</v>
      </c>
      <c r="F61" s="69" t="s">
        <v>24</v>
      </c>
      <c r="G61" s="5" t="s">
        <v>19</v>
      </c>
      <c r="H61" s="10">
        <v>45316</v>
      </c>
      <c r="I61" s="25">
        <v>0.33333333333333331</v>
      </c>
      <c r="J61" s="5" t="s">
        <v>14</v>
      </c>
      <c r="K61" s="22"/>
    </row>
    <row r="62" spans="2:11">
      <c r="B62" s="4" t="s">
        <v>15</v>
      </c>
      <c r="C62" s="5">
        <f>IF(B62&lt;&gt;"",VLOOKUP(B62,Projetos!E:F,2,0),"")</f>
        <v>10</v>
      </c>
      <c r="D62" s="5"/>
      <c r="E62" s="4" t="s">
        <v>25</v>
      </c>
      <c r="F62" s="69" t="s">
        <v>25</v>
      </c>
      <c r="G62" s="5" t="s">
        <v>18</v>
      </c>
      <c r="H62" s="10">
        <v>45316</v>
      </c>
      <c r="I62" s="25">
        <v>8.3333333333333329E-2</v>
      </c>
      <c r="J62" s="5" t="s">
        <v>14</v>
      </c>
      <c r="K62" s="22"/>
    </row>
    <row r="63" spans="2:11">
      <c r="B63" s="4" t="s">
        <v>30</v>
      </c>
      <c r="C63" s="5">
        <f>IF(B63&lt;&gt;"",VLOOKUP(B63,Projetos!E:F,2,0),"")</f>
        <v>13</v>
      </c>
      <c r="D63" s="5"/>
      <c r="E63" s="4" t="s">
        <v>31</v>
      </c>
      <c r="F63" s="69" t="s">
        <v>32</v>
      </c>
      <c r="G63" s="5" t="s">
        <v>13</v>
      </c>
      <c r="H63" s="10">
        <v>45316</v>
      </c>
      <c r="I63" s="25">
        <v>8.3333333333333329E-2</v>
      </c>
      <c r="J63" s="5" t="s">
        <v>14</v>
      </c>
      <c r="K63" s="22"/>
    </row>
    <row r="64" spans="2:11">
      <c r="B64" s="4" t="s">
        <v>10</v>
      </c>
      <c r="C64" s="5">
        <f>IF(B64&lt;&gt;"",VLOOKUP(B64,Projetos!E:F,2,0),"")</f>
        <v>2</v>
      </c>
      <c r="D64" s="5"/>
      <c r="E64" s="4" t="s">
        <v>26</v>
      </c>
      <c r="F64" s="69" t="s">
        <v>27</v>
      </c>
      <c r="G64" s="5" t="s">
        <v>28</v>
      </c>
      <c r="H64" s="10">
        <v>45317</v>
      </c>
      <c r="I64" s="21">
        <v>0.25</v>
      </c>
      <c r="J64" s="5" t="s">
        <v>14</v>
      </c>
      <c r="K64" s="22"/>
    </row>
    <row r="65" spans="2:11">
      <c r="B65" s="4" t="s">
        <v>35</v>
      </c>
      <c r="C65" s="5">
        <f>IF(B65&lt;&gt;"",VLOOKUP(B65,Projetos!E:F,2,0),"")</f>
        <v>9</v>
      </c>
      <c r="D65" s="5"/>
      <c r="E65" s="4" t="s">
        <v>21</v>
      </c>
      <c r="F65" s="69" t="s">
        <v>37</v>
      </c>
      <c r="G65" s="5" t="s">
        <v>20</v>
      </c>
      <c r="H65" s="10">
        <v>45317</v>
      </c>
      <c r="I65" s="21">
        <v>8.3333333333333329E-2</v>
      </c>
      <c r="J65" s="5" t="s">
        <v>14</v>
      </c>
      <c r="K65" s="22"/>
    </row>
    <row r="66" spans="2:11">
      <c r="B66" s="4" t="s">
        <v>15</v>
      </c>
      <c r="C66" s="5">
        <f>IF(B66&lt;&gt;"",VLOOKUP(B66,Projetos!E:F,2,0),"")</f>
        <v>10</v>
      </c>
      <c r="D66" s="5"/>
      <c r="E66" s="4" t="s">
        <v>26</v>
      </c>
      <c r="F66" s="69" t="s">
        <v>29</v>
      </c>
      <c r="G66" s="5" t="s">
        <v>13</v>
      </c>
      <c r="H66" s="10">
        <v>45317</v>
      </c>
      <c r="I66" s="25">
        <v>0.16666666666666666</v>
      </c>
      <c r="J66" s="5" t="s">
        <v>14</v>
      </c>
      <c r="K66" s="22"/>
    </row>
    <row r="67" spans="2:11">
      <c r="B67" s="4" t="s">
        <v>15</v>
      </c>
      <c r="C67" s="5">
        <f>IF(B67&lt;&gt;"",VLOOKUP(B67,Projetos!E:F,2,0),"")</f>
        <v>10</v>
      </c>
      <c r="D67" s="5"/>
      <c r="E67" s="4" t="s">
        <v>23</v>
      </c>
      <c r="F67" s="69" t="s">
        <v>24</v>
      </c>
      <c r="G67" s="5" t="s">
        <v>19</v>
      </c>
      <c r="H67" s="10">
        <v>45317</v>
      </c>
      <c r="I67" s="25">
        <v>0.33333333333333331</v>
      </c>
      <c r="J67" s="5" t="s">
        <v>14</v>
      </c>
      <c r="K67" s="22"/>
    </row>
    <row r="68" spans="2:11">
      <c r="B68" s="4" t="s">
        <v>15</v>
      </c>
      <c r="C68" s="5">
        <f>IF(B68&lt;&gt;"",VLOOKUP(B68,Projetos!E:F,2,0),"")</f>
        <v>10</v>
      </c>
      <c r="D68" s="5"/>
      <c r="E68" s="4" t="s">
        <v>25</v>
      </c>
      <c r="F68" s="69" t="s">
        <v>25</v>
      </c>
      <c r="G68" s="5" t="s">
        <v>18</v>
      </c>
      <c r="H68" s="10">
        <v>45317</v>
      </c>
      <c r="I68" s="25">
        <v>8.3333333333333329E-2</v>
      </c>
      <c r="J68" s="5" t="s">
        <v>14</v>
      </c>
      <c r="K68" s="22"/>
    </row>
    <row r="69" spans="2:11">
      <c r="B69" s="4" t="s">
        <v>30</v>
      </c>
      <c r="C69" s="5">
        <f>IF(B69&lt;&gt;"",VLOOKUP(B69,Projetos!E:F,2,0),"")</f>
        <v>13</v>
      </c>
      <c r="D69" s="5"/>
      <c r="E69" s="4" t="s">
        <v>31</v>
      </c>
      <c r="F69" s="69" t="s">
        <v>32</v>
      </c>
      <c r="G69" s="5" t="s">
        <v>13</v>
      </c>
      <c r="H69" s="10">
        <v>45317</v>
      </c>
      <c r="I69" s="25">
        <v>8.3333333333333329E-2</v>
      </c>
      <c r="J69" s="5" t="s">
        <v>14</v>
      </c>
      <c r="K69" s="22"/>
    </row>
    <row r="70" spans="2:11">
      <c r="B70" s="4" t="s">
        <v>35</v>
      </c>
      <c r="C70" s="5">
        <f>IF(B70&lt;&gt;"",VLOOKUP(B70,Projetos!E:F,2,0),"")</f>
        <v>9</v>
      </c>
      <c r="D70" s="5"/>
      <c r="E70" s="4" t="s">
        <v>23</v>
      </c>
      <c r="F70" s="69" t="s">
        <v>38</v>
      </c>
      <c r="G70" s="5" t="s">
        <v>20</v>
      </c>
      <c r="H70" s="10">
        <v>45318</v>
      </c>
      <c r="I70" s="21">
        <v>0.125</v>
      </c>
      <c r="J70" s="5" t="s">
        <v>14</v>
      </c>
      <c r="K70" s="22"/>
    </row>
    <row r="71" spans="2:11">
      <c r="B71" s="4" t="s">
        <v>35</v>
      </c>
      <c r="C71" s="5">
        <f>IF(B71&lt;&gt;"",VLOOKUP(B71,Projetos!E:F,2,0),"")</f>
        <v>9</v>
      </c>
      <c r="D71" s="5"/>
      <c r="E71" s="4" t="s">
        <v>23</v>
      </c>
      <c r="F71" s="69" t="s">
        <v>38</v>
      </c>
      <c r="G71" s="5" t="s">
        <v>13</v>
      </c>
      <c r="H71" s="10">
        <v>45318</v>
      </c>
      <c r="I71" s="21">
        <v>0.16666666666666666</v>
      </c>
      <c r="J71" s="5" t="s">
        <v>14</v>
      </c>
      <c r="K71" s="22"/>
    </row>
    <row r="72" spans="2:11">
      <c r="B72" s="4" t="s">
        <v>30</v>
      </c>
      <c r="C72" s="5">
        <f>IF(B72&lt;&gt;"",VLOOKUP(B72,Projetos!E:F,2,0),"")</f>
        <v>13</v>
      </c>
      <c r="D72" s="5"/>
      <c r="E72" s="4" t="s">
        <v>31</v>
      </c>
      <c r="F72" s="69" t="s">
        <v>32</v>
      </c>
      <c r="G72" s="5" t="s">
        <v>13</v>
      </c>
      <c r="H72" s="10">
        <v>45318</v>
      </c>
      <c r="I72" s="25">
        <v>8.3333333333333329E-2</v>
      </c>
      <c r="J72" s="5" t="s">
        <v>14</v>
      </c>
      <c r="K72" s="22"/>
    </row>
    <row r="73" spans="2:11">
      <c r="B73" s="4" t="s">
        <v>35</v>
      </c>
      <c r="C73" s="5">
        <f>IF(B73&lt;&gt;"",VLOOKUP(B73,Projetos!E:F,2,0),"")</f>
        <v>9</v>
      </c>
      <c r="D73" s="5"/>
      <c r="E73" s="4" t="s">
        <v>23</v>
      </c>
      <c r="F73" s="69" t="s">
        <v>38</v>
      </c>
      <c r="G73" s="5" t="s">
        <v>20</v>
      </c>
      <c r="H73" s="10">
        <v>45319</v>
      </c>
      <c r="I73" s="21">
        <v>0.125</v>
      </c>
      <c r="J73" s="5" t="s">
        <v>14</v>
      </c>
      <c r="K73" s="22"/>
    </row>
    <row r="74" spans="2:11">
      <c r="B74" s="4" t="s">
        <v>35</v>
      </c>
      <c r="C74" s="5">
        <f>IF(B74&lt;&gt;"",VLOOKUP(B74,Projetos!E:F,2,0),"")</f>
        <v>9</v>
      </c>
      <c r="D74" s="5"/>
      <c r="E74" s="4" t="s">
        <v>23</v>
      </c>
      <c r="F74" s="69" t="s">
        <v>38</v>
      </c>
      <c r="G74" s="5" t="s">
        <v>13</v>
      </c>
      <c r="H74" s="10">
        <v>45319</v>
      </c>
      <c r="I74" s="21">
        <v>0.16666666666666666</v>
      </c>
      <c r="J74" s="5" t="s">
        <v>14</v>
      </c>
      <c r="K74" s="22"/>
    </row>
    <row r="75" spans="2:11">
      <c r="B75" s="4" t="s">
        <v>30</v>
      </c>
      <c r="C75" s="5">
        <f>IF(B75&lt;&gt;"",VLOOKUP(B75,Projetos!E:F,2,0),"")</f>
        <v>13</v>
      </c>
      <c r="D75" s="5"/>
      <c r="E75" s="4" t="s">
        <v>31</v>
      </c>
      <c r="F75" s="69" t="s">
        <v>32</v>
      </c>
      <c r="G75" s="5" t="s">
        <v>13</v>
      </c>
      <c r="H75" s="10">
        <v>45319</v>
      </c>
      <c r="I75" s="25">
        <v>8.3333333333333329E-2</v>
      </c>
      <c r="J75" s="5" t="s">
        <v>14</v>
      </c>
      <c r="K75" s="22"/>
    </row>
    <row r="76" spans="2:11">
      <c r="B76" s="4" t="s">
        <v>10</v>
      </c>
      <c r="C76" s="5">
        <f>IF(B76&lt;&gt;"",VLOOKUP(B76,Projetos!E:F,2,0),"")</f>
        <v>2</v>
      </c>
      <c r="D76" s="5"/>
      <c r="E76" s="4" t="s">
        <v>26</v>
      </c>
      <c r="F76" s="69" t="s">
        <v>27</v>
      </c>
      <c r="G76" s="5" t="s">
        <v>28</v>
      </c>
      <c r="H76" s="10">
        <v>45320</v>
      </c>
      <c r="I76" s="21">
        <v>0.25</v>
      </c>
      <c r="J76" s="5" t="s">
        <v>14</v>
      </c>
      <c r="K76" s="22"/>
    </row>
    <row r="77" spans="2:11">
      <c r="B77" s="4" t="s">
        <v>10</v>
      </c>
      <c r="C77" s="5">
        <f>IF(B77&lt;&gt;"",VLOOKUP(B77,Projetos!E:F,2,0),"")</f>
        <v>2</v>
      </c>
      <c r="D77" s="5"/>
      <c r="E77" s="4" t="s">
        <v>31</v>
      </c>
      <c r="F77" s="69" t="s">
        <v>39</v>
      </c>
      <c r="G77" s="5" t="s">
        <v>34</v>
      </c>
      <c r="H77" s="10">
        <v>45320</v>
      </c>
      <c r="I77" s="21">
        <v>0.16666666666666666</v>
      </c>
      <c r="J77" s="5" t="s">
        <v>14</v>
      </c>
      <c r="K77" s="22"/>
    </row>
    <row r="78" spans="2:11">
      <c r="B78" s="4" t="s">
        <v>35</v>
      </c>
      <c r="C78" s="5">
        <f>IF(B78&lt;&gt;"",VLOOKUP(B78,Projetos!E:F,2,0),"")</f>
        <v>9</v>
      </c>
      <c r="D78" s="5"/>
      <c r="E78" s="4" t="s">
        <v>23</v>
      </c>
      <c r="F78" s="69" t="s">
        <v>38</v>
      </c>
      <c r="G78" s="5" t="s">
        <v>20</v>
      </c>
      <c r="H78" s="10">
        <v>45320</v>
      </c>
      <c r="I78" s="21">
        <v>8.3333333333333329E-2</v>
      </c>
      <c r="J78" s="5" t="s">
        <v>14</v>
      </c>
      <c r="K78" s="22"/>
    </row>
    <row r="79" spans="2:11">
      <c r="B79" s="4" t="s">
        <v>35</v>
      </c>
      <c r="C79" s="5">
        <f>IF(B79&lt;&gt;"",VLOOKUP(B79,Projetos!E:F,2,0),"")</f>
        <v>9</v>
      </c>
      <c r="D79" s="5"/>
      <c r="E79" s="4" t="s">
        <v>23</v>
      </c>
      <c r="F79" s="69" t="s">
        <v>38</v>
      </c>
      <c r="G79" s="5" t="s">
        <v>13</v>
      </c>
      <c r="H79" s="10">
        <v>45320</v>
      </c>
      <c r="I79" s="21">
        <v>0.125</v>
      </c>
      <c r="J79" s="5" t="s">
        <v>14</v>
      </c>
      <c r="K79" s="22"/>
    </row>
    <row r="80" spans="2:11">
      <c r="B80" s="4" t="s">
        <v>15</v>
      </c>
      <c r="C80" s="5">
        <f>IF(B80&lt;&gt;"",VLOOKUP(B80,Projetos!E:F,2,0),"")</f>
        <v>10</v>
      </c>
      <c r="D80" s="5"/>
      <c r="E80" s="4" t="s">
        <v>26</v>
      </c>
      <c r="F80" s="69" t="s">
        <v>29</v>
      </c>
      <c r="G80" s="5" t="s">
        <v>13</v>
      </c>
      <c r="H80" s="10">
        <v>45320</v>
      </c>
      <c r="I80" s="25">
        <v>0.16666666666666666</v>
      </c>
      <c r="J80" s="5" t="s">
        <v>14</v>
      </c>
      <c r="K80" s="22"/>
    </row>
    <row r="81" spans="2:11">
      <c r="B81" s="4" t="s">
        <v>15</v>
      </c>
      <c r="C81" s="5">
        <f>IF(B81&lt;&gt;"",VLOOKUP(B81,Projetos!E:F,2,0),"")</f>
        <v>10</v>
      </c>
      <c r="D81" s="5"/>
      <c r="E81" s="4" t="s">
        <v>23</v>
      </c>
      <c r="F81" s="69" t="s">
        <v>24</v>
      </c>
      <c r="G81" s="5" t="s">
        <v>19</v>
      </c>
      <c r="H81" s="10">
        <v>45320</v>
      </c>
      <c r="I81" s="25">
        <v>0.33333333333333331</v>
      </c>
      <c r="J81" s="5" t="s">
        <v>14</v>
      </c>
      <c r="K81" s="22"/>
    </row>
    <row r="82" spans="2:11">
      <c r="B82" s="4" t="s">
        <v>15</v>
      </c>
      <c r="C82" s="5">
        <f>IF(B82&lt;&gt;"",VLOOKUP(B82,Projetos!E:F,2,0),"")</f>
        <v>10</v>
      </c>
      <c r="D82" s="5"/>
      <c r="E82" s="4" t="s">
        <v>25</v>
      </c>
      <c r="F82" s="69" t="s">
        <v>25</v>
      </c>
      <c r="G82" s="5" t="s">
        <v>18</v>
      </c>
      <c r="H82" s="10">
        <v>45320</v>
      </c>
      <c r="I82" s="25">
        <v>8.3333333333333329E-2</v>
      </c>
      <c r="J82" s="5" t="s">
        <v>14</v>
      </c>
      <c r="K82" s="22"/>
    </row>
    <row r="83" spans="2:11">
      <c r="B83" s="4" t="s">
        <v>30</v>
      </c>
      <c r="C83" s="5">
        <f>IF(B83&lt;&gt;"",VLOOKUP(B83,Projetos!E:F,2,0),"")</f>
        <v>13</v>
      </c>
      <c r="D83" s="5"/>
      <c r="E83" s="4" t="s">
        <v>31</v>
      </c>
      <c r="F83" s="69" t="s">
        <v>32</v>
      </c>
      <c r="G83" s="5" t="s">
        <v>13</v>
      </c>
      <c r="H83" s="10">
        <v>45320</v>
      </c>
      <c r="I83" s="25">
        <v>8.3333333333333329E-2</v>
      </c>
      <c r="J83" s="5" t="s">
        <v>14</v>
      </c>
      <c r="K83" s="22"/>
    </row>
    <row r="84" spans="2:11">
      <c r="B84" s="4" t="s">
        <v>30</v>
      </c>
      <c r="C84" s="5">
        <f>IF(B84&lt;&gt;"",VLOOKUP(B84,Projetos!E:F,2,0),"")</f>
        <v>13</v>
      </c>
      <c r="D84" s="5"/>
      <c r="E84" s="4" t="s">
        <v>31</v>
      </c>
      <c r="F84" s="69" t="s">
        <v>32</v>
      </c>
      <c r="G84" s="5" t="s">
        <v>13</v>
      </c>
      <c r="H84" s="10">
        <v>45320</v>
      </c>
      <c r="I84" s="25">
        <v>8.3333333333333329E-2</v>
      </c>
      <c r="J84" s="5" t="s">
        <v>14</v>
      </c>
      <c r="K84" s="22"/>
    </row>
    <row r="85" spans="2:11">
      <c r="B85" s="4" t="s">
        <v>10</v>
      </c>
      <c r="C85" s="5">
        <f>IF(B85&lt;&gt;"",VLOOKUP(B85,Projetos!E:F,2,0),"")</f>
        <v>2</v>
      </c>
      <c r="D85" s="5"/>
      <c r="E85" s="4" t="s">
        <v>26</v>
      </c>
      <c r="F85" s="69" t="s">
        <v>27</v>
      </c>
      <c r="G85" s="5" t="s">
        <v>28</v>
      </c>
      <c r="H85" s="10">
        <v>45321</v>
      </c>
      <c r="I85" s="21">
        <v>0.25</v>
      </c>
      <c r="J85" s="5" t="s">
        <v>14</v>
      </c>
      <c r="K85" s="22"/>
    </row>
    <row r="86" spans="2:11">
      <c r="B86" s="4" t="s">
        <v>10</v>
      </c>
      <c r="C86" s="5">
        <f>IF(B86&lt;&gt;"",VLOOKUP(B86,Projetos!E:F,2,0),"")</f>
        <v>2</v>
      </c>
      <c r="D86" s="5"/>
      <c r="E86" s="4" t="s">
        <v>31</v>
      </c>
      <c r="F86" s="69" t="s">
        <v>39</v>
      </c>
      <c r="G86" s="5" t="s">
        <v>34</v>
      </c>
      <c r="H86" s="10">
        <v>45321</v>
      </c>
      <c r="I86" s="21">
        <v>0.16666666666666666</v>
      </c>
      <c r="J86" s="5" t="s">
        <v>14</v>
      </c>
      <c r="K86" s="22"/>
    </row>
    <row r="87" spans="2:11">
      <c r="B87" s="4" t="s">
        <v>35</v>
      </c>
      <c r="C87" s="5">
        <f>IF(B87&lt;&gt;"",VLOOKUP(B87,Projetos!E:F,2,0),"")</f>
        <v>9</v>
      </c>
      <c r="D87" s="5"/>
      <c r="E87" s="4" t="s">
        <v>23</v>
      </c>
      <c r="F87" s="69" t="s">
        <v>38</v>
      </c>
      <c r="G87" s="5" t="s">
        <v>20</v>
      </c>
      <c r="H87" s="10">
        <v>45321</v>
      </c>
      <c r="I87" s="21">
        <v>8.3333333333333329E-2</v>
      </c>
      <c r="J87" s="5" t="s">
        <v>14</v>
      </c>
      <c r="K87" s="22"/>
    </row>
    <row r="88" spans="2:11">
      <c r="B88" s="4" t="s">
        <v>35</v>
      </c>
      <c r="C88" s="5">
        <f>IF(B88&lt;&gt;"",VLOOKUP(B88,Projetos!E:F,2,0),"")</f>
        <v>9</v>
      </c>
      <c r="D88" s="5"/>
      <c r="E88" s="4" t="s">
        <v>23</v>
      </c>
      <c r="F88" s="69" t="s">
        <v>38</v>
      </c>
      <c r="G88" s="5" t="s">
        <v>13</v>
      </c>
      <c r="H88" s="10">
        <v>45321</v>
      </c>
      <c r="I88" s="25">
        <v>0.125</v>
      </c>
      <c r="J88" s="5" t="s">
        <v>14</v>
      </c>
      <c r="K88" s="22"/>
    </row>
    <row r="89" spans="2:11">
      <c r="B89" s="4" t="s">
        <v>15</v>
      </c>
      <c r="C89" s="5">
        <f>IF(B89&lt;&gt;"",VLOOKUP(B89,Projetos!E:F,2,0),"")</f>
        <v>10</v>
      </c>
      <c r="D89" s="5"/>
      <c r="E89" s="4" t="s">
        <v>26</v>
      </c>
      <c r="F89" s="69" t="s">
        <v>29</v>
      </c>
      <c r="G89" s="5" t="s">
        <v>13</v>
      </c>
      <c r="H89" s="10">
        <v>45321</v>
      </c>
      <c r="I89" s="25">
        <v>0.16666666666666666</v>
      </c>
      <c r="J89" s="5" t="s">
        <v>14</v>
      </c>
      <c r="K89" s="22"/>
    </row>
    <row r="90" spans="2:11">
      <c r="B90" s="4" t="s">
        <v>15</v>
      </c>
      <c r="C90" s="5">
        <f>IF(B90&lt;&gt;"",VLOOKUP(B90,Projetos!E:F,2,0),"")</f>
        <v>10</v>
      </c>
      <c r="D90" s="5"/>
      <c r="E90" s="4" t="s">
        <v>23</v>
      </c>
      <c r="F90" s="69" t="s">
        <v>24</v>
      </c>
      <c r="G90" s="5" t="s">
        <v>19</v>
      </c>
      <c r="H90" s="10">
        <v>45321</v>
      </c>
      <c r="I90" s="25">
        <v>0.33333333333333331</v>
      </c>
      <c r="J90" s="5" t="s">
        <v>14</v>
      </c>
      <c r="K90" s="22"/>
    </row>
    <row r="91" spans="2:11">
      <c r="B91" s="4" t="s">
        <v>15</v>
      </c>
      <c r="C91" s="5">
        <f>IF(B91&lt;&gt;"",VLOOKUP(B91,Projetos!E:F,2,0),"")</f>
        <v>10</v>
      </c>
      <c r="D91" s="5"/>
      <c r="E91" s="4" t="s">
        <v>25</v>
      </c>
      <c r="F91" s="69" t="s">
        <v>25</v>
      </c>
      <c r="G91" s="5" t="s">
        <v>18</v>
      </c>
      <c r="H91" s="10">
        <v>45321</v>
      </c>
      <c r="I91" s="25">
        <v>8.3333333333333329E-2</v>
      </c>
      <c r="J91" s="5" t="s">
        <v>14</v>
      </c>
      <c r="K91" s="22"/>
    </row>
    <row r="92" spans="2:11">
      <c r="B92" s="4" t="s">
        <v>30</v>
      </c>
      <c r="C92" s="5">
        <f>IF(B92&lt;&gt;"",VLOOKUP(B92,Projetos!E:F,2,0),"")</f>
        <v>13</v>
      </c>
      <c r="D92" s="5"/>
      <c r="E92" s="4" t="s">
        <v>31</v>
      </c>
      <c r="F92" s="69" t="s">
        <v>32</v>
      </c>
      <c r="G92" s="5" t="s">
        <v>13</v>
      </c>
      <c r="H92" s="10">
        <v>45321</v>
      </c>
      <c r="I92" s="25">
        <v>8.3333333333333329E-2</v>
      </c>
      <c r="J92" s="5" t="s">
        <v>14</v>
      </c>
      <c r="K92" s="22"/>
    </row>
    <row r="93" spans="2:11">
      <c r="B93" s="4" t="s">
        <v>30</v>
      </c>
      <c r="C93" s="5">
        <f>IF(B93&lt;&gt;"",VLOOKUP(B93,Projetos!E:F,2,0),"")</f>
        <v>13</v>
      </c>
      <c r="D93" s="5"/>
      <c r="E93" s="4" t="s">
        <v>31</v>
      </c>
      <c r="F93" s="69" t="s">
        <v>32</v>
      </c>
      <c r="G93" s="5" t="s">
        <v>13</v>
      </c>
      <c r="H93" s="10">
        <v>45321</v>
      </c>
      <c r="I93" s="25">
        <v>8.3333333333333329E-2</v>
      </c>
      <c r="J93" s="5" t="s">
        <v>14</v>
      </c>
      <c r="K93" s="22"/>
    </row>
    <row r="94" spans="2:11">
      <c r="B94" s="4" t="s">
        <v>33</v>
      </c>
      <c r="C94" s="5">
        <f>IF(B94&lt;&gt;"",VLOOKUP(B94,Projetos!E:F,2,0),"")</f>
        <v>18</v>
      </c>
      <c r="D94" s="5"/>
      <c r="E94" s="4" t="s">
        <v>21</v>
      </c>
      <c r="F94" s="69" t="s">
        <v>16</v>
      </c>
      <c r="G94" s="5" t="s">
        <v>34</v>
      </c>
      <c r="H94" s="10">
        <v>45321</v>
      </c>
      <c r="I94" s="21">
        <v>8.3333333333333329E-2</v>
      </c>
      <c r="J94" s="5" t="s">
        <v>14</v>
      </c>
      <c r="K94" s="22"/>
    </row>
    <row r="95" spans="2:11">
      <c r="B95" s="4" t="s">
        <v>10</v>
      </c>
      <c r="C95" s="5">
        <f>IF(B95&lt;&gt;"",VLOOKUP(B95,Projetos!E:F,2,0),"")</f>
        <v>2</v>
      </c>
      <c r="D95" s="5"/>
      <c r="E95" s="4" t="s">
        <v>26</v>
      </c>
      <c r="F95" s="69" t="s">
        <v>27</v>
      </c>
      <c r="G95" s="5" t="s">
        <v>28</v>
      </c>
      <c r="H95" s="10">
        <v>45322</v>
      </c>
      <c r="I95" s="21">
        <v>0.25</v>
      </c>
      <c r="J95" s="5" t="s">
        <v>14</v>
      </c>
      <c r="K95" s="22"/>
    </row>
    <row r="96" spans="2:11">
      <c r="B96" s="4" t="s">
        <v>10</v>
      </c>
      <c r="C96" s="5">
        <f>IF(B96&lt;&gt;"",VLOOKUP(B96,Projetos!E:F,2,0),"")</f>
        <v>2</v>
      </c>
      <c r="D96" s="5"/>
      <c r="E96" s="4" t="s">
        <v>31</v>
      </c>
      <c r="F96" s="69" t="s">
        <v>39</v>
      </c>
      <c r="G96" s="5" t="s">
        <v>34</v>
      </c>
      <c r="H96" s="10">
        <v>45322</v>
      </c>
      <c r="I96" s="21">
        <v>0.16666666666666666</v>
      </c>
      <c r="J96" s="5" t="s">
        <v>14</v>
      </c>
      <c r="K96" s="22"/>
    </row>
    <row r="97" spans="2:11">
      <c r="B97" s="4" t="s">
        <v>15</v>
      </c>
      <c r="C97" s="5">
        <f>IF(B97&lt;&gt;"",VLOOKUP(B97,Projetos!E:F,2,0),"")</f>
        <v>10</v>
      </c>
      <c r="D97" s="5"/>
      <c r="E97" s="4" t="s">
        <v>26</v>
      </c>
      <c r="F97" s="69" t="s">
        <v>29</v>
      </c>
      <c r="G97" s="5" t="s">
        <v>13</v>
      </c>
      <c r="H97" s="10">
        <v>45322</v>
      </c>
      <c r="I97" s="25">
        <v>0.16666666666666666</v>
      </c>
      <c r="J97" s="5" t="s">
        <v>14</v>
      </c>
      <c r="K97" s="22"/>
    </row>
    <row r="98" spans="2:11">
      <c r="B98" s="4" t="s">
        <v>15</v>
      </c>
      <c r="C98" s="5">
        <f>IF(B98&lt;&gt;"",VLOOKUP(B98,Projetos!E:F,2,0),"")</f>
        <v>10</v>
      </c>
      <c r="D98" s="5"/>
      <c r="E98" s="4" t="s">
        <v>23</v>
      </c>
      <c r="F98" s="69" t="s">
        <v>24</v>
      </c>
      <c r="G98" s="5" t="s">
        <v>19</v>
      </c>
      <c r="H98" s="10">
        <v>45322</v>
      </c>
      <c r="I98" s="25">
        <v>0.33333333333333331</v>
      </c>
      <c r="J98" s="5" t="s">
        <v>14</v>
      </c>
      <c r="K98" s="22"/>
    </row>
    <row r="99" spans="2:11">
      <c r="B99" s="4" t="s">
        <v>15</v>
      </c>
      <c r="C99" s="5">
        <f>IF(B99&lt;&gt;"",VLOOKUP(B99,Projetos!E:F,2,0),"")</f>
        <v>10</v>
      </c>
      <c r="D99" s="5"/>
      <c r="E99" s="4" t="s">
        <v>25</v>
      </c>
      <c r="F99" s="69" t="s">
        <v>25</v>
      </c>
      <c r="G99" s="5" t="s">
        <v>18</v>
      </c>
      <c r="H99" s="10">
        <v>45322</v>
      </c>
      <c r="I99" s="25">
        <v>8.3333333333333329E-2</v>
      </c>
      <c r="J99" s="5" t="s">
        <v>14</v>
      </c>
      <c r="K99" s="22"/>
    </row>
    <row r="100" spans="2:11">
      <c r="B100" s="4" t="s">
        <v>30</v>
      </c>
      <c r="C100" s="5">
        <f>IF(B100&lt;&gt;"",VLOOKUP(B100,Projetos!E:F,2,0),"")</f>
        <v>13</v>
      </c>
      <c r="D100" s="5"/>
      <c r="E100" s="4" t="s">
        <v>31</v>
      </c>
      <c r="F100" s="69" t="s">
        <v>32</v>
      </c>
      <c r="G100" s="5" t="s">
        <v>13</v>
      </c>
      <c r="H100" s="10">
        <v>45322</v>
      </c>
      <c r="I100" s="25">
        <v>8.3333333333333329E-2</v>
      </c>
      <c r="J100" s="5" t="s">
        <v>14</v>
      </c>
      <c r="K100" s="22"/>
    </row>
    <row r="101" spans="2:11">
      <c r="B101" s="4" t="s">
        <v>10</v>
      </c>
      <c r="C101" s="5">
        <f>IF(B101&lt;&gt;"",VLOOKUP(B101,Projetos!E:F,2,0),"")</f>
        <v>2</v>
      </c>
      <c r="D101" s="5"/>
      <c r="E101" s="4" t="s">
        <v>26</v>
      </c>
      <c r="F101" s="69" t="s">
        <v>27</v>
      </c>
      <c r="G101" s="5" t="s">
        <v>28</v>
      </c>
      <c r="H101" s="10">
        <v>45323</v>
      </c>
      <c r="I101" s="21">
        <v>0.25</v>
      </c>
      <c r="J101" s="5" t="s">
        <v>14</v>
      </c>
      <c r="K101" s="22"/>
    </row>
    <row r="102" spans="2:11">
      <c r="B102" s="4" t="s">
        <v>10</v>
      </c>
      <c r="C102" s="5">
        <f>IF(B102&lt;&gt;"",VLOOKUP(B102,Projetos!E:F,2,0),"")</f>
        <v>2</v>
      </c>
      <c r="D102" s="5"/>
      <c r="E102" s="4" t="s">
        <v>31</v>
      </c>
      <c r="F102" s="69" t="s">
        <v>39</v>
      </c>
      <c r="G102" s="5" t="s">
        <v>34</v>
      </c>
      <c r="H102" s="10">
        <v>45323</v>
      </c>
      <c r="I102" s="21">
        <v>0.16666666666666666</v>
      </c>
      <c r="J102" s="5" t="s">
        <v>14</v>
      </c>
      <c r="K102" s="22"/>
    </row>
    <row r="103" spans="2:11">
      <c r="B103" s="4" t="s">
        <v>10</v>
      </c>
      <c r="C103" s="5">
        <f>IF(B103&lt;&gt;"",VLOOKUP(B103,Projetos!E:F,2,0),"")</f>
        <v>2</v>
      </c>
      <c r="D103" s="5"/>
      <c r="E103" s="4" t="s">
        <v>40</v>
      </c>
      <c r="F103" s="69" t="s">
        <v>41</v>
      </c>
      <c r="G103" s="5" t="s">
        <v>42</v>
      </c>
      <c r="H103" s="10">
        <v>45323</v>
      </c>
      <c r="I103" s="21">
        <v>0.33333333333333331</v>
      </c>
      <c r="J103" s="5" t="s">
        <v>14</v>
      </c>
      <c r="K103" s="22"/>
    </row>
    <row r="104" spans="2:11">
      <c r="B104" s="4" t="s">
        <v>15</v>
      </c>
      <c r="C104" s="5">
        <f>IF(B104&lt;&gt;"",VLOOKUP(B104,Projetos!E:F,2,0),"")</f>
        <v>10</v>
      </c>
      <c r="D104" s="5"/>
      <c r="E104" s="4" t="s">
        <v>26</v>
      </c>
      <c r="F104" s="69" t="s">
        <v>29</v>
      </c>
      <c r="G104" s="5" t="s">
        <v>13</v>
      </c>
      <c r="H104" s="10">
        <v>45323</v>
      </c>
      <c r="I104" s="25">
        <v>0.16666666666666666</v>
      </c>
      <c r="J104" s="5" t="s">
        <v>14</v>
      </c>
      <c r="K104" s="22"/>
    </row>
    <row r="105" spans="2:11">
      <c r="B105" s="4" t="s">
        <v>15</v>
      </c>
      <c r="C105" s="5">
        <f>IF(B105&lt;&gt;"",VLOOKUP(B105,Projetos!E:F,2,0),"")</f>
        <v>10</v>
      </c>
      <c r="D105" s="5"/>
      <c r="E105" s="4" t="s">
        <v>23</v>
      </c>
      <c r="F105" s="69" t="s">
        <v>24</v>
      </c>
      <c r="G105" s="5" t="s">
        <v>19</v>
      </c>
      <c r="H105" s="10">
        <v>45323</v>
      </c>
      <c r="I105" s="25">
        <v>0.33333333333333331</v>
      </c>
      <c r="J105" s="5" t="s">
        <v>14</v>
      </c>
      <c r="K105" s="22"/>
    </row>
    <row r="106" spans="2:11">
      <c r="B106" s="4" t="s">
        <v>15</v>
      </c>
      <c r="C106" s="5">
        <f>IF(B106&lt;&gt;"",VLOOKUP(B106,Projetos!E:F,2,0),"")</f>
        <v>10</v>
      </c>
      <c r="D106" s="5"/>
      <c r="E106" s="4" t="s">
        <v>25</v>
      </c>
      <c r="F106" s="69" t="s">
        <v>25</v>
      </c>
      <c r="G106" s="5" t="s">
        <v>18</v>
      </c>
      <c r="H106" s="10">
        <v>45323</v>
      </c>
      <c r="I106" s="25">
        <v>8.3333333333333329E-2</v>
      </c>
      <c r="J106" s="5" t="s">
        <v>14</v>
      </c>
      <c r="K106" s="22"/>
    </row>
    <row r="107" spans="2:11">
      <c r="B107" s="4" t="s">
        <v>30</v>
      </c>
      <c r="C107" s="5">
        <f>IF(B107&lt;&gt;"",VLOOKUP(B107,Projetos!E:F,2,0),"")</f>
        <v>13</v>
      </c>
      <c r="D107" s="5"/>
      <c r="E107" s="4" t="s">
        <v>31</v>
      </c>
      <c r="F107" s="69" t="s">
        <v>32</v>
      </c>
      <c r="G107" s="5" t="s">
        <v>13</v>
      </c>
      <c r="H107" s="10">
        <v>45323</v>
      </c>
      <c r="I107" s="25">
        <v>8.3333333333333329E-2</v>
      </c>
      <c r="J107" s="5" t="s">
        <v>14</v>
      </c>
      <c r="K107" s="22"/>
    </row>
    <row r="108" spans="2:11">
      <c r="B108" s="4" t="s">
        <v>10</v>
      </c>
      <c r="C108" s="5">
        <f>IF(B108&lt;&gt;"",VLOOKUP(B108,Projetos!E:F,2,0),"")</f>
        <v>2</v>
      </c>
      <c r="D108" s="5"/>
      <c r="E108" s="4" t="s">
        <v>26</v>
      </c>
      <c r="F108" s="69" t="s">
        <v>27</v>
      </c>
      <c r="G108" s="5" t="s">
        <v>28</v>
      </c>
      <c r="H108" s="10">
        <v>45324</v>
      </c>
      <c r="I108" s="21">
        <v>0.25</v>
      </c>
      <c r="J108" s="5" t="s">
        <v>14</v>
      </c>
      <c r="K108" s="22"/>
    </row>
    <row r="109" spans="2:11">
      <c r="B109" s="4" t="s">
        <v>10</v>
      </c>
      <c r="C109" s="5">
        <f>IF(B109&lt;&gt;"",VLOOKUP(B109,Projetos!E:F,2,0),"")</f>
        <v>2</v>
      </c>
      <c r="D109" s="5"/>
      <c r="E109" s="4" t="s">
        <v>31</v>
      </c>
      <c r="F109" s="69" t="s">
        <v>39</v>
      </c>
      <c r="G109" s="5" t="s">
        <v>34</v>
      </c>
      <c r="H109" s="10">
        <v>45324</v>
      </c>
      <c r="I109" s="21">
        <v>0.16666666666666666</v>
      </c>
      <c r="J109" s="5" t="s">
        <v>14</v>
      </c>
      <c r="K109" s="22"/>
    </row>
    <row r="110" spans="2:11">
      <c r="B110" s="4" t="s">
        <v>10</v>
      </c>
      <c r="C110" s="5">
        <f>IF(B110&lt;&gt;"",VLOOKUP(B110,Projetos!E:F,2,0),"")</f>
        <v>2</v>
      </c>
      <c r="D110" s="5"/>
      <c r="E110" s="4" t="s">
        <v>40</v>
      </c>
      <c r="F110" s="69" t="s">
        <v>41</v>
      </c>
      <c r="G110" s="5" t="s">
        <v>42</v>
      </c>
      <c r="H110" s="10">
        <v>45324</v>
      </c>
      <c r="I110" s="21">
        <v>0.33333333333333331</v>
      </c>
      <c r="J110" s="5" t="s">
        <v>14</v>
      </c>
      <c r="K110" s="22"/>
    </row>
    <row r="111" spans="2:11">
      <c r="B111" s="4" t="s">
        <v>15</v>
      </c>
      <c r="C111" s="5">
        <f>IF(B111&lt;&gt;"",VLOOKUP(B111,Projetos!E:F,2,0),"")</f>
        <v>10</v>
      </c>
      <c r="D111" s="5"/>
      <c r="E111" s="4" t="s">
        <v>26</v>
      </c>
      <c r="F111" s="69" t="s">
        <v>29</v>
      </c>
      <c r="G111" s="5" t="s">
        <v>13</v>
      </c>
      <c r="H111" s="10">
        <v>45324</v>
      </c>
      <c r="I111" s="25">
        <v>0.16666666666666666</v>
      </c>
      <c r="J111" s="5" t="s">
        <v>14</v>
      </c>
      <c r="K111" s="22"/>
    </row>
    <row r="112" spans="2:11">
      <c r="B112" s="4" t="s">
        <v>15</v>
      </c>
      <c r="C112" s="5">
        <f>IF(B112&lt;&gt;"",VLOOKUP(B112,Projetos!E:F,2,0),"")</f>
        <v>10</v>
      </c>
      <c r="D112" s="5"/>
      <c r="E112" s="4" t="s">
        <v>23</v>
      </c>
      <c r="F112" s="69" t="s">
        <v>24</v>
      </c>
      <c r="G112" s="5" t="s">
        <v>19</v>
      </c>
      <c r="H112" s="10">
        <v>45324</v>
      </c>
      <c r="I112" s="25">
        <v>0.33333333333333331</v>
      </c>
      <c r="J112" s="5" t="s">
        <v>14</v>
      </c>
      <c r="K112" s="22"/>
    </row>
    <row r="113" spans="2:11">
      <c r="B113" s="4" t="s">
        <v>15</v>
      </c>
      <c r="C113" s="5">
        <f>IF(B113&lt;&gt;"",VLOOKUP(B113,Projetos!E:F,2,0),"")</f>
        <v>10</v>
      </c>
      <c r="D113" s="5"/>
      <c r="E113" s="4" t="s">
        <v>25</v>
      </c>
      <c r="F113" s="69" t="s">
        <v>25</v>
      </c>
      <c r="G113" s="5" t="s">
        <v>18</v>
      </c>
      <c r="H113" s="10">
        <v>45324</v>
      </c>
      <c r="I113" s="25">
        <v>8.3333333333333329E-2</v>
      </c>
      <c r="J113" s="5" t="s">
        <v>14</v>
      </c>
      <c r="K113" s="22"/>
    </row>
    <row r="114" spans="2:11">
      <c r="B114" s="4" t="s">
        <v>30</v>
      </c>
      <c r="C114" s="5">
        <f>IF(B114&lt;&gt;"",VLOOKUP(B114,Projetos!E:F,2,0),"")</f>
        <v>13</v>
      </c>
      <c r="D114" s="5"/>
      <c r="E114" s="4" t="s">
        <v>31</v>
      </c>
      <c r="F114" s="69" t="s">
        <v>32</v>
      </c>
      <c r="G114" s="5" t="s">
        <v>13</v>
      </c>
      <c r="H114" s="10">
        <v>45324</v>
      </c>
      <c r="I114" s="25">
        <v>8.3333333333333329E-2</v>
      </c>
      <c r="J114" s="5" t="s">
        <v>14</v>
      </c>
      <c r="K114" s="22"/>
    </row>
    <row r="115" spans="2:11">
      <c r="B115" s="4" t="s">
        <v>10</v>
      </c>
      <c r="C115" s="5">
        <f>IF(B115&lt;&gt;"",VLOOKUP(B115,Projetos!E:F,2,0),"")</f>
        <v>2</v>
      </c>
      <c r="D115" s="5"/>
      <c r="E115" s="4" t="s">
        <v>26</v>
      </c>
      <c r="F115" s="69" t="s">
        <v>27</v>
      </c>
      <c r="G115" s="5" t="s">
        <v>28</v>
      </c>
      <c r="H115" s="10">
        <v>45327</v>
      </c>
      <c r="I115" s="21">
        <v>0.25</v>
      </c>
      <c r="J115" s="5" t="s">
        <v>14</v>
      </c>
      <c r="K115" s="22"/>
    </row>
    <row r="116" spans="2:11">
      <c r="B116" s="4" t="s">
        <v>10</v>
      </c>
      <c r="C116" s="5">
        <f>IF(B116&lt;&gt;"",VLOOKUP(B116,Projetos!E:F,2,0),"")</f>
        <v>2</v>
      </c>
      <c r="D116" s="5"/>
      <c r="E116" s="4" t="s">
        <v>31</v>
      </c>
      <c r="F116" s="69" t="s">
        <v>39</v>
      </c>
      <c r="G116" s="5" t="s">
        <v>34</v>
      </c>
      <c r="H116" s="10">
        <v>45327</v>
      </c>
      <c r="I116" s="21">
        <v>0.16666666666666666</v>
      </c>
      <c r="J116" s="5" t="s">
        <v>14</v>
      </c>
      <c r="K116" s="22"/>
    </row>
    <row r="117" spans="2:11">
      <c r="B117" s="4" t="s">
        <v>10</v>
      </c>
      <c r="C117" s="5">
        <f>IF(B117&lt;&gt;"",VLOOKUP(B117,Projetos!E:F,2,0),"")</f>
        <v>2</v>
      </c>
      <c r="D117" s="5"/>
      <c r="E117" s="4" t="s">
        <v>40</v>
      </c>
      <c r="F117" s="69" t="s">
        <v>41</v>
      </c>
      <c r="G117" s="5" t="s">
        <v>42</v>
      </c>
      <c r="H117" s="10">
        <v>45327</v>
      </c>
      <c r="I117" s="21">
        <v>0.33333333333333331</v>
      </c>
      <c r="J117" s="5" t="s">
        <v>14</v>
      </c>
      <c r="K117" s="22"/>
    </row>
    <row r="118" spans="2:11">
      <c r="B118" s="4" t="s">
        <v>15</v>
      </c>
      <c r="C118" s="5">
        <f>IF(B118&lt;&gt;"",VLOOKUP(B118,Projetos!E:F,2,0),"")</f>
        <v>10</v>
      </c>
      <c r="D118" s="5"/>
      <c r="E118" s="4" t="s">
        <v>26</v>
      </c>
      <c r="F118" s="69" t="s">
        <v>29</v>
      </c>
      <c r="G118" s="5" t="s">
        <v>13</v>
      </c>
      <c r="H118" s="10">
        <v>45327</v>
      </c>
      <c r="I118" s="25">
        <v>0.16666666666666666</v>
      </c>
      <c r="J118" s="5" t="s">
        <v>14</v>
      </c>
      <c r="K118" s="22"/>
    </row>
    <row r="119" spans="2:11">
      <c r="B119" s="4" t="s">
        <v>15</v>
      </c>
      <c r="C119" s="5">
        <f>IF(B119&lt;&gt;"",VLOOKUP(B119,Projetos!E:F,2,0),"")</f>
        <v>10</v>
      </c>
      <c r="D119" s="5"/>
      <c r="E119" s="4" t="s">
        <v>23</v>
      </c>
      <c r="F119" s="69" t="s">
        <v>24</v>
      </c>
      <c r="G119" s="5" t="s">
        <v>19</v>
      </c>
      <c r="H119" s="10">
        <v>45327</v>
      </c>
      <c r="I119" s="25">
        <v>0.33333333333333331</v>
      </c>
      <c r="J119" s="5" t="s">
        <v>14</v>
      </c>
      <c r="K119" s="22"/>
    </row>
    <row r="120" spans="2:11">
      <c r="B120" s="4" t="s">
        <v>15</v>
      </c>
      <c r="C120" s="5">
        <f>IF(B120&lt;&gt;"",VLOOKUP(B120,Projetos!E:F,2,0),"")</f>
        <v>10</v>
      </c>
      <c r="D120" s="5"/>
      <c r="E120" s="4" t="s">
        <v>25</v>
      </c>
      <c r="F120" s="69" t="s">
        <v>25</v>
      </c>
      <c r="G120" s="5" t="s">
        <v>18</v>
      </c>
      <c r="H120" s="10">
        <v>45327</v>
      </c>
      <c r="I120" s="25">
        <v>8.3333333333333329E-2</v>
      </c>
      <c r="J120" s="5" t="s">
        <v>14</v>
      </c>
      <c r="K120" s="22"/>
    </row>
    <row r="121" spans="2:11">
      <c r="B121" s="4" t="s">
        <v>30</v>
      </c>
      <c r="C121" s="5">
        <f>IF(B121&lt;&gt;"",VLOOKUP(B121,Projetos!E:F,2,0),"")</f>
        <v>13</v>
      </c>
      <c r="D121" s="5"/>
      <c r="E121" s="4" t="s">
        <v>31</v>
      </c>
      <c r="F121" s="69" t="s">
        <v>32</v>
      </c>
      <c r="G121" s="5" t="s">
        <v>13</v>
      </c>
      <c r="H121" s="10">
        <v>45327</v>
      </c>
      <c r="I121" s="25">
        <v>8.3333333333333329E-2</v>
      </c>
      <c r="J121" s="5" t="s">
        <v>14</v>
      </c>
      <c r="K121" s="22"/>
    </row>
    <row r="122" spans="2:11">
      <c r="B122" s="4" t="s">
        <v>10</v>
      </c>
      <c r="C122" s="5">
        <f>IF(B122&lt;&gt;"",VLOOKUP(B122,Projetos!E:F,2,0),"")</f>
        <v>2</v>
      </c>
      <c r="D122" s="5"/>
      <c r="E122" s="4" t="s">
        <v>26</v>
      </c>
      <c r="F122" s="69" t="s">
        <v>27</v>
      </c>
      <c r="G122" s="5" t="s">
        <v>28</v>
      </c>
      <c r="H122" s="10">
        <v>45328</v>
      </c>
      <c r="I122" s="21">
        <v>0.25</v>
      </c>
      <c r="J122" s="5" t="s">
        <v>14</v>
      </c>
      <c r="K122" s="22"/>
    </row>
    <row r="123" spans="2:11">
      <c r="B123" s="4" t="s">
        <v>10</v>
      </c>
      <c r="C123" s="5">
        <f>IF(B123&lt;&gt;"",VLOOKUP(B123,Projetos!E:F,2,0),"")</f>
        <v>2</v>
      </c>
      <c r="D123" s="5"/>
      <c r="E123" s="4" t="s">
        <v>31</v>
      </c>
      <c r="F123" s="69" t="s">
        <v>39</v>
      </c>
      <c r="G123" s="5" t="s">
        <v>34</v>
      </c>
      <c r="H123" s="10">
        <v>45328</v>
      </c>
      <c r="I123" s="21">
        <v>0.16666666666666666</v>
      </c>
      <c r="J123" s="5" t="s">
        <v>14</v>
      </c>
      <c r="K123" s="22"/>
    </row>
    <row r="124" spans="2:11">
      <c r="B124" s="4" t="s">
        <v>10</v>
      </c>
      <c r="C124" s="5">
        <f>IF(B124&lt;&gt;"",VLOOKUP(B124,Projetos!E:F,2,0),"")</f>
        <v>2</v>
      </c>
      <c r="D124" s="5"/>
      <c r="E124" s="4" t="s">
        <v>40</v>
      </c>
      <c r="F124" s="69" t="s">
        <v>41</v>
      </c>
      <c r="G124" s="5" t="s">
        <v>42</v>
      </c>
      <c r="H124" s="10">
        <v>45328</v>
      </c>
      <c r="I124" s="21">
        <v>0.33333333333333331</v>
      </c>
      <c r="J124" s="5" t="s">
        <v>14</v>
      </c>
      <c r="K124" s="22"/>
    </row>
    <row r="125" spans="2:11">
      <c r="B125" s="4" t="s">
        <v>15</v>
      </c>
      <c r="C125" s="5">
        <f>IF(B125&lt;&gt;"",VLOOKUP(B125,Projetos!E:F,2,0),"")</f>
        <v>10</v>
      </c>
      <c r="D125" s="5"/>
      <c r="E125" s="4" t="s">
        <v>26</v>
      </c>
      <c r="F125" s="69" t="s">
        <v>29</v>
      </c>
      <c r="G125" s="5" t="s">
        <v>13</v>
      </c>
      <c r="H125" s="10">
        <v>45328</v>
      </c>
      <c r="I125" s="25">
        <v>0.16666666666666666</v>
      </c>
      <c r="J125" s="5" t="s">
        <v>14</v>
      </c>
      <c r="K125" s="22"/>
    </row>
    <row r="126" spans="2:11">
      <c r="B126" s="4" t="s">
        <v>15</v>
      </c>
      <c r="C126" s="5">
        <f>IF(B126&lt;&gt;"",VLOOKUP(B126,Projetos!E:F,2,0),"")</f>
        <v>10</v>
      </c>
      <c r="D126" s="5"/>
      <c r="E126" s="4" t="s">
        <v>23</v>
      </c>
      <c r="F126" s="69" t="s">
        <v>24</v>
      </c>
      <c r="G126" s="5" t="s">
        <v>19</v>
      </c>
      <c r="H126" s="10">
        <v>45328</v>
      </c>
      <c r="I126" s="25">
        <v>0.33333333333333331</v>
      </c>
      <c r="J126" s="5" t="s">
        <v>14</v>
      </c>
      <c r="K126" s="22"/>
    </row>
    <row r="127" spans="2:11">
      <c r="B127" s="4" t="s">
        <v>15</v>
      </c>
      <c r="C127" s="5">
        <f>IF(B127&lt;&gt;"",VLOOKUP(B127,Projetos!E:F,2,0),"")</f>
        <v>10</v>
      </c>
      <c r="D127" s="5"/>
      <c r="E127" s="4" t="s">
        <v>25</v>
      </c>
      <c r="F127" s="69" t="s">
        <v>25</v>
      </c>
      <c r="G127" s="5" t="s">
        <v>18</v>
      </c>
      <c r="H127" s="10">
        <v>45328</v>
      </c>
      <c r="I127" s="25">
        <v>8.3333333333333329E-2</v>
      </c>
      <c r="J127" s="5" t="s">
        <v>14</v>
      </c>
      <c r="K127" s="22"/>
    </row>
    <row r="128" spans="2:11">
      <c r="B128" s="4" t="s">
        <v>30</v>
      </c>
      <c r="C128" s="5">
        <f>IF(B128&lt;&gt;"",VLOOKUP(B128,Projetos!E:F,2,0),"")</f>
        <v>13</v>
      </c>
      <c r="D128" s="5"/>
      <c r="E128" s="4" t="s">
        <v>31</v>
      </c>
      <c r="F128" s="69" t="s">
        <v>32</v>
      </c>
      <c r="G128" s="5" t="s">
        <v>13</v>
      </c>
      <c r="H128" s="10">
        <v>45328</v>
      </c>
      <c r="I128" s="25">
        <v>8.3333333333333329E-2</v>
      </c>
      <c r="J128" s="5" t="s">
        <v>14</v>
      </c>
      <c r="K128" s="22"/>
    </row>
    <row r="129" spans="2:11">
      <c r="B129" s="4" t="s">
        <v>10</v>
      </c>
      <c r="C129" s="5">
        <f>IF(B129&lt;&gt;"",VLOOKUP(B129,Projetos!E:F,2,0),"")</f>
        <v>2</v>
      </c>
      <c r="D129" s="5"/>
      <c r="E129" s="4" t="s">
        <v>26</v>
      </c>
      <c r="F129" s="69" t="s">
        <v>27</v>
      </c>
      <c r="G129" s="5" t="s">
        <v>28</v>
      </c>
      <c r="H129" s="10">
        <v>45329</v>
      </c>
      <c r="I129" s="21">
        <v>0.25</v>
      </c>
      <c r="J129" s="5" t="s">
        <v>14</v>
      </c>
      <c r="K129" s="22"/>
    </row>
    <row r="130" spans="2:11">
      <c r="B130" s="4" t="s">
        <v>10</v>
      </c>
      <c r="C130" s="5">
        <f>IF(B130&lt;&gt;"",VLOOKUP(B130,Projetos!E:F,2,0),"")</f>
        <v>2</v>
      </c>
      <c r="D130" s="5"/>
      <c r="E130" s="4" t="s">
        <v>31</v>
      </c>
      <c r="F130" s="69" t="s">
        <v>39</v>
      </c>
      <c r="G130" s="5" t="s">
        <v>34</v>
      </c>
      <c r="H130" s="10">
        <v>45329</v>
      </c>
      <c r="I130" s="21">
        <v>0.16666666666666666</v>
      </c>
      <c r="J130" s="5" t="s">
        <v>14</v>
      </c>
      <c r="K130" s="22"/>
    </row>
    <row r="131" spans="2:11">
      <c r="B131" s="4" t="s">
        <v>10</v>
      </c>
      <c r="C131" s="5">
        <f>IF(B131&lt;&gt;"",VLOOKUP(B131,Projetos!E:F,2,0),"")</f>
        <v>2</v>
      </c>
      <c r="D131" s="5"/>
      <c r="E131" s="4" t="s">
        <v>40</v>
      </c>
      <c r="F131" s="69" t="s">
        <v>41</v>
      </c>
      <c r="G131" s="5" t="s">
        <v>42</v>
      </c>
      <c r="H131" s="10">
        <v>45329</v>
      </c>
      <c r="I131" s="21">
        <v>0.33333333333333331</v>
      </c>
      <c r="J131" s="5" t="s">
        <v>14</v>
      </c>
      <c r="K131" s="22"/>
    </row>
    <row r="132" spans="2:11">
      <c r="B132" s="4" t="s">
        <v>15</v>
      </c>
      <c r="C132" s="5">
        <f>IF(B132&lt;&gt;"",VLOOKUP(B132,Projetos!E:F,2,0),"")</f>
        <v>10</v>
      </c>
      <c r="D132" s="5"/>
      <c r="E132" s="4" t="s">
        <v>26</v>
      </c>
      <c r="F132" s="69" t="s">
        <v>29</v>
      </c>
      <c r="G132" s="5" t="s">
        <v>13</v>
      </c>
      <c r="H132" s="10">
        <v>45329</v>
      </c>
      <c r="I132" s="25">
        <v>0.16666666666666666</v>
      </c>
      <c r="J132" s="5" t="s">
        <v>14</v>
      </c>
      <c r="K132" s="22"/>
    </row>
    <row r="133" spans="2:11">
      <c r="B133" s="4" t="s">
        <v>15</v>
      </c>
      <c r="C133" s="5">
        <f>IF(B133&lt;&gt;"",VLOOKUP(B133,Projetos!E:F,2,0),"")</f>
        <v>10</v>
      </c>
      <c r="D133" s="5"/>
      <c r="E133" s="4" t="s">
        <v>23</v>
      </c>
      <c r="F133" s="69" t="s">
        <v>24</v>
      </c>
      <c r="G133" s="5" t="s">
        <v>19</v>
      </c>
      <c r="H133" s="10">
        <v>45329</v>
      </c>
      <c r="I133" s="25">
        <v>0.33333333333333331</v>
      </c>
      <c r="J133" s="5" t="s">
        <v>14</v>
      </c>
      <c r="K133" s="22"/>
    </row>
    <row r="134" spans="2:11">
      <c r="B134" s="4" t="s">
        <v>15</v>
      </c>
      <c r="C134" s="5">
        <f>IF(B134&lt;&gt;"",VLOOKUP(B134,Projetos!E:F,2,0),"")</f>
        <v>10</v>
      </c>
      <c r="D134" s="5"/>
      <c r="E134" s="4" t="s">
        <v>25</v>
      </c>
      <c r="F134" s="69" t="s">
        <v>25</v>
      </c>
      <c r="G134" s="5" t="s">
        <v>18</v>
      </c>
      <c r="H134" s="10">
        <v>45329</v>
      </c>
      <c r="I134" s="25">
        <v>8.3333333333333329E-2</v>
      </c>
      <c r="J134" s="5" t="s">
        <v>14</v>
      </c>
      <c r="K134" s="22"/>
    </row>
    <row r="135" spans="2:11">
      <c r="B135" s="4" t="s">
        <v>30</v>
      </c>
      <c r="C135" s="5">
        <f>IF(B135&lt;&gt;"",VLOOKUP(B135,Projetos!E:F,2,0),"")</f>
        <v>13</v>
      </c>
      <c r="D135" s="5"/>
      <c r="E135" s="4" t="s">
        <v>31</v>
      </c>
      <c r="F135" s="69" t="s">
        <v>32</v>
      </c>
      <c r="G135" s="5" t="s">
        <v>13</v>
      </c>
      <c r="H135" s="10">
        <v>45329</v>
      </c>
      <c r="I135" s="25">
        <v>8.3333333333333329E-2</v>
      </c>
      <c r="J135" s="5" t="s">
        <v>14</v>
      </c>
      <c r="K135" s="22"/>
    </row>
    <row r="136" spans="2:11">
      <c r="B136" s="4" t="s">
        <v>10</v>
      </c>
      <c r="C136" s="5">
        <f>IF(B136&lt;&gt;"",VLOOKUP(B136,Projetos!E:F,2,0),"")</f>
        <v>2</v>
      </c>
      <c r="D136" s="5"/>
      <c r="E136" s="4" t="s">
        <v>26</v>
      </c>
      <c r="F136" s="69" t="s">
        <v>27</v>
      </c>
      <c r="G136" s="5" t="s">
        <v>28</v>
      </c>
      <c r="H136" s="10">
        <v>45330</v>
      </c>
      <c r="I136" s="21">
        <v>0.25</v>
      </c>
      <c r="J136" s="5" t="s">
        <v>14</v>
      </c>
      <c r="K136" s="22"/>
    </row>
    <row r="137" spans="2:11">
      <c r="B137" s="4" t="s">
        <v>10</v>
      </c>
      <c r="C137" s="5">
        <f>IF(B137&lt;&gt;"",VLOOKUP(B137,Projetos!E:F,2,0),"")</f>
        <v>2</v>
      </c>
      <c r="D137" s="5"/>
      <c r="E137" s="4" t="s">
        <v>31</v>
      </c>
      <c r="F137" s="69" t="s">
        <v>39</v>
      </c>
      <c r="G137" s="5" t="s">
        <v>34</v>
      </c>
      <c r="H137" s="10">
        <v>45330</v>
      </c>
      <c r="I137" s="21">
        <v>0.16666666666666666</v>
      </c>
      <c r="J137" s="5" t="s">
        <v>14</v>
      </c>
      <c r="K137" s="22"/>
    </row>
    <row r="138" spans="2:11">
      <c r="B138" s="4" t="s">
        <v>10</v>
      </c>
      <c r="C138" s="5">
        <f>IF(B138&lt;&gt;"",VLOOKUP(B138,Projetos!E:F,2,0),"")</f>
        <v>2</v>
      </c>
      <c r="D138" s="5"/>
      <c r="E138" s="4" t="s">
        <v>40</v>
      </c>
      <c r="F138" s="69" t="s">
        <v>41</v>
      </c>
      <c r="G138" s="5" t="s">
        <v>42</v>
      </c>
      <c r="H138" s="10">
        <v>45330</v>
      </c>
      <c r="I138" s="21">
        <v>0.33333333333333331</v>
      </c>
      <c r="J138" s="5" t="s">
        <v>14</v>
      </c>
      <c r="K138" s="22"/>
    </row>
    <row r="139" spans="2:11">
      <c r="B139" s="4" t="s">
        <v>43</v>
      </c>
      <c r="C139" s="5">
        <f>IF(B139&lt;&gt;"",VLOOKUP(B139,Projetos!E:F,2,0),"")</f>
        <v>5</v>
      </c>
      <c r="D139" s="5"/>
      <c r="E139" s="4" t="s">
        <v>16</v>
      </c>
      <c r="F139" s="69" t="s">
        <v>44</v>
      </c>
      <c r="G139" s="5" t="s">
        <v>20</v>
      </c>
      <c r="H139" s="10">
        <v>45330</v>
      </c>
      <c r="I139" s="21">
        <v>4.1666666666666664E-2</v>
      </c>
      <c r="J139" s="5" t="s">
        <v>14</v>
      </c>
      <c r="K139" s="22"/>
    </row>
    <row r="140" spans="2:11">
      <c r="B140" s="4" t="s">
        <v>35</v>
      </c>
      <c r="C140" s="5">
        <f>IF(B140&lt;&gt;"",VLOOKUP(B140,Projetos!E:F,2,0),"")</f>
        <v>9</v>
      </c>
      <c r="D140" s="5"/>
      <c r="E140" s="4" t="s">
        <v>25</v>
      </c>
      <c r="F140" s="69" t="s">
        <v>45</v>
      </c>
      <c r="G140" s="5" t="s">
        <v>18</v>
      </c>
      <c r="H140" s="10">
        <v>45330</v>
      </c>
      <c r="I140" s="25">
        <v>8.3333333333333329E-2</v>
      </c>
      <c r="J140" s="5" t="s">
        <v>14</v>
      </c>
      <c r="K140" s="22"/>
    </row>
    <row r="141" spans="2:11">
      <c r="B141" s="4" t="s">
        <v>15</v>
      </c>
      <c r="C141" s="5">
        <f>IF(B141&lt;&gt;"",VLOOKUP(B141,Projetos!E:F,2,0),"")</f>
        <v>10</v>
      </c>
      <c r="D141" s="5"/>
      <c r="E141" s="4" t="s">
        <v>26</v>
      </c>
      <c r="F141" s="69" t="s">
        <v>29</v>
      </c>
      <c r="G141" s="5" t="s">
        <v>13</v>
      </c>
      <c r="H141" s="10">
        <v>45330</v>
      </c>
      <c r="I141" s="25">
        <v>0.16666666666666666</v>
      </c>
      <c r="J141" s="5" t="s">
        <v>14</v>
      </c>
      <c r="K141" s="22"/>
    </row>
    <row r="142" spans="2:11">
      <c r="B142" s="4" t="s">
        <v>15</v>
      </c>
      <c r="C142" s="5">
        <f>IF(B142&lt;&gt;"",VLOOKUP(B142,Projetos!E:F,2,0),"")</f>
        <v>10</v>
      </c>
      <c r="D142" s="5"/>
      <c r="E142" s="4" t="s">
        <v>23</v>
      </c>
      <c r="F142" s="69" t="s">
        <v>24</v>
      </c>
      <c r="G142" s="5" t="s">
        <v>19</v>
      </c>
      <c r="H142" s="10">
        <v>45330</v>
      </c>
      <c r="I142" s="25">
        <v>0.33333333333333331</v>
      </c>
      <c r="J142" s="5" t="s">
        <v>14</v>
      </c>
      <c r="K142" s="22"/>
    </row>
    <row r="143" spans="2:11">
      <c r="B143" s="4" t="s">
        <v>15</v>
      </c>
      <c r="C143" s="5">
        <f>IF(B143&lt;&gt;"",VLOOKUP(B143,Projetos!E:F,2,0),"")</f>
        <v>10</v>
      </c>
      <c r="D143" s="5"/>
      <c r="E143" s="4" t="s">
        <v>25</v>
      </c>
      <c r="F143" s="69" t="s">
        <v>25</v>
      </c>
      <c r="G143" s="5" t="s">
        <v>18</v>
      </c>
      <c r="H143" s="10">
        <v>45330</v>
      </c>
      <c r="I143" s="25">
        <v>8.3333333333333329E-2</v>
      </c>
      <c r="J143" s="5" t="s">
        <v>14</v>
      </c>
      <c r="K143" s="22"/>
    </row>
    <row r="144" spans="2:11">
      <c r="B144" s="4" t="s">
        <v>30</v>
      </c>
      <c r="C144" s="5">
        <f>IF(B144&lt;&gt;"",VLOOKUP(B144,Projetos!E:F,2,0),"")</f>
        <v>13</v>
      </c>
      <c r="D144" s="5"/>
      <c r="E144" s="4" t="s">
        <v>31</v>
      </c>
      <c r="F144" s="69" t="s">
        <v>32</v>
      </c>
      <c r="G144" s="5" t="s">
        <v>13</v>
      </c>
      <c r="H144" s="10">
        <v>45330</v>
      </c>
      <c r="I144" s="25">
        <v>8.3333333333333329E-2</v>
      </c>
      <c r="J144" s="5" t="s">
        <v>14</v>
      </c>
      <c r="K144" s="22"/>
    </row>
    <row r="145" spans="2:11">
      <c r="B145" s="4" t="s">
        <v>10</v>
      </c>
      <c r="C145" s="5">
        <f>IF(B145&lt;&gt;"",VLOOKUP(B145,Projetos!E:F,2,0),"")</f>
        <v>2</v>
      </c>
      <c r="D145" s="5"/>
      <c r="E145" s="4" t="s">
        <v>26</v>
      </c>
      <c r="F145" s="69" t="s">
        <v>27</v>
      </c>
      <c r="G145" s="5" t="s">
        <v>28</v>
      </c>
      <c r="H145" s="10">
        <v>45331</v>
      </c>
      <c r="I145" s="21">
        <v>0.25</v>
      </c>
      <c r="J145" s="5" t="s">
        <v>14</v>
      </c>
      <c r="K145" s="22"/>
    </row>
    <row r="146" spans="2:11">
      <c r="B146" s="4" t="s">
        <v>10</v>
      </c>
      <c r="C146" s="5">
        <f>IF(B146&lt;&gt;"",VLOOKUP(B146,Projetos!E:F,2,0),"")</f>
        <v>2</v>
      </c>
      <c r="D146" s="5"/>
      <c r="E146" s="4" t="s">
        <v>31</v>
      </c>
      <c r="F146" s="69" t="s">
        <v>39</v>
      </c>
      <c r="G146" s="5" t="s">
        <v>34</v>
      </c>
      <c r="H146" s="10">
        <v>45331</v>
      </c>
      <c r="I146" s="21">
        <v>0.16666666666666666</v>
      </c>
      <c r="J146" s="5" t="s">
        <v>14</v>
      </c>
      <c r="K146" s="22"/>
    </row>
    <row r="147" spans="2:11">
      <c r="B147" s="4" t="s">
        <v>10</v>
      </c>
      <c r="C147" s="5">
        <f>IF(B147&lt;&gt;"",VLOOKUP(B147,Projetos!E:F,2,0),"")</f>
        <v>2</v>
      </c>
      <c r="D147" s="5"/>
      <c r="E147" s="4" t="s">
        <v>40</v>
      </c>
      <c r="F147" s="69" t="s">
        <v>41</v>
      </c>
      <c r="G147" s="5" t="s">
        <v>42</v>
      </c>
      <c r="H147" s="10">
        <v>45331</v>
      </c>
      <c r="I147" s="21">
        <v>0.33333333333333331</v>
      </c>
      <c r="J147" s="5" t="s">
        <v>14</v>
      </c>
      <c r="K147" s="22"/>
    </row>
    <row r="148" spans="2:11">
      <c r="B148" s="4" t="s">
        <v>43</v>
      </c>
      <c r="C148" s="5">
        <f>IF(B148&lt;&gt;"",VLOOKUP(B148,Projetos!E:F,2,0),"")</f>
        <v>5</v>
      </c>
      <c r="D148" s="5"/>
      <c r="E148" s="4" t="s">
        <v>26</v>
      </c>
      <c r="F148" s="69" t="s">
        <v>46</v>
      </c>
      <c r="G148" s="5" t="s">
        <v>34</v>
      </c>
      <c r="H148" s="10">
        <v>45331</v>
      </c>
      <c r="I148" s="21">
        <v>4.1666666666666664E-2</v>
      </c>
      <c r="J148" s="5" t="s">
        <v>14</v>
      </c>
      <c r="K148" s="22"/>
    </row>
    <row r="149" spans="2:11">
      <c r="B149" s="4" t="s">
        <v>47</v>
      </c>
      <c r="C149" s="5">
        <f>IF(B149&lt;&gt;"",VLOOKUP(B149,Projetos!E:F,2,0),"")</f>
        <v>7</v>
      </c>
      <c r="D149" s="5"/>
      <c r="E149" s="4" t="s">
        <v>16</v>
      </c>
      <c r="F149" s="69" t="s">
        <v>48</v>
      </c>
      <c r="G149" s="5" t="s">
        <v>20</v>
      </c>
      <c r="H149" s="10">
        <v>45331</v>
      </c>
      <c r="I149" s="21">
        <v>4.1666666666666664E-2</v>
      </c>
      <c r="J149" s="5" t="s">
        <v>14</v>
      </c>
      <c r="K149" s="22"/>
    </row>
    <row r="150" spans="2:11">
      <c r="B150" s="4" t="s">
        <v>35</v>
      </c>
      <c r="C150" s="5">
        <f>IF(B150&lt;&gt;"",VLOOKUP(B150,Projetos!E:F,2,0),"")</f>
        <v>9</v>
      </c>
      <c r="D150" s="5"/>
      <c r="E150" s="4" t="s">
        <v>49</v>
      </c>
      <c r="F150" s="69" t="s">
        <v>50</v>
      </c>
      <c r="G150" s="5" t="s">
        <v>20</v>
      </c>
      <c r="H150" s="10">
        <v>45331</v>
      </c>
      <c r="I150" s="25">
        <v>8.3333333333333329E-2</v>
      </c>
      <c r="J150" s="5" t="s">
        <v>14</v>
      </c>
      <c r="K150" s="22"/>
    </row>
    <row r="151" spans="2:11">
      <c r="B151" s="4" t="s">
        <v>15</v>
      </c>
      <c r="C151" s="5">
        <f>IF(B151&lt;&gt;"",VLOOKUP(B151,Projetos!E:F,2,0),"")</f>
        <v>10</v>
      </c>
      <c r="D151" s="5"/>
      <c r="E151" s="4" t="s">
        <v>26</v>
      </c>
      <c r="F151" s="69" t="s">
        <v>29</v>
      </c>
      <c r="G151" s="5" t="s">
        <v>13</v>
      </c>
      <c r="H151" s="10">
        <v>45331</v>
      </c>
      <c r="I151" s="25">
        <v>0.16666666666666666</v>
      </c>
      <c r="J151" s="5" t="s">
        <v>14</v>
      </c>
      <c r="K151" s="22"/>
    </row>
    <row r="152" spans="2:11">
      <c r="B152" s="4" t="s">
        <v>15</v>
      </c>
      <c r="C152" s="5">
        <f>IF(B152&lt;&gt;"",VLOOKUP(B152,Projetos!E:F,2,0),"")</f>
        <v>10</v>
      </c>
      <c r="D152" s="5"/>
      <c r="E152" s="4" t="s">
        <v>23</v>
      </c>
      <c r="F152" s="69" t="s">
        <v>24</v>
      </c>
      <c r="G152" s="5" t="s">
        <v>19</v>
      </c>
      <c r="H152" s="10">
        <v>45331</v>
      </c>
      <c r="I152" s="25">
        <v>0.33333333333333331</v>
      </c>
      <c r="J152" s="5" t="s">
        <v>14</v>
      </c>
      <c r="K152" s="22"/>
    </row>
    <row r="153" spans="2:11">
      <c r="B153" s="4" t="s">
        <v>30</v>
      </c>
      <c r="C153" s="5">
        <f>IF(B153&lt;&gt;"",VLOOKUP(B153,Projetos!E:F,2,0),"")</f>
        <v>13</v>
      </c>
      <c r="D153" s="5"/>
      <c r="E153" s="4" t="s">
        <v>31</v>
      </c>
      <c r="F153" s="69" t="s">
        <v>32</v>
      </c>
      <c r="G153" s="5" t="s">
        <v>13</v>
      </c>
      <c r="H153" s="10">
        <v>45331</v>
      </c>
      <c r="I153" s="25">
        <v>8.3333333333333329E-2</v>
      </c>
      <c r="J153" s="5" t="s">
        <v>14</v>
      </c>
      <c r="K153" s="22"/>
    </row>
    <row r="154" spans="2:11">
      <c r="B154" s="4" t="s">
        <v>43</v>
      </c>
      <c r="C154" s="5">
        <f>IF(B154&lt;&gt;"",VLOOKUP(B154,Projetos!E:F,2,0),"")</f>
        <v>5</v>
      </c>
      <c r="D154" s="5"/>
      <c r="E154" s="4" t="s">
        <v>31</v>
      </c>
      <c r="F154" s="69" t="s">
        <v>51</v>
      </c>
      <c r="G154" s="5" t="s">
        <v>34</v>
      </c>
      <c r="H154" s="10">
        <v>45332</v>
      </c>
      <c r="I154" s="21">
        <v>0.125</v>
      </c>
      <c r="J154" s="5" t="s">
        <v>14</v>
      </c>
      <c r="K154" s="22"/>
    </row>
    <row r="155" spans="2:11">
      <c r="B155" s="4" t="s">
        <v>43</v>
      </c>
      <c r="C155" s="5">
        <f>IF(B155&lt;&gt;"",VLOOKUP(B155,Projetos!E:F,2,0),"")</f>
        <v>5</v>
      </c>
      <c r="D155" s="5"/>
      <c r="E155" s="4" t="s">
        <v>25</v>
      </c>
      <c r="F155" s="69" t="s">
        <v>52</v>
      </c>
      <c r="G155" s="5" t="s">
        <v>20</v>
      </c>
      <c r="H155" s="10">
        <v>45332</v>
      </c>
      <c r="I155" s="21">
        <v>4.1666666666666664E-2</v>
      </c>
      <c r="J155" s="5" t="s">
        <v>14</v>
      </c>
      <c r="K155" s="22"/>
    </row>
    <row r="156" spans="2:11">
      <c r="B156" s="4" t="s">
        <v>47</v>
      </c>
      <c r="C156" s="5">
        <f>IF(B156&lt;&gt;"",VLOOKUP(B156,Projetos!E:F,2,0),"")</f>
        <v>7</v>
      </c>
      <c r="D156" s="5"/>
      <c r="E156" s="4" t="s">
        <v>26</v>
      </c>
      <c r="F156" s="69" t="s">
        <v>53</v>
      </c>
      <c r="G156" s="5" t="s">
        <v>34</v>
      </c>
      <c r="H156" s="10">
        <v>45334</v>
      </c>
      <c r="I156" s="21">
        <v>8.3333333333333329E-2</v>
      </c>
      <c r="J156" s="5" t="s">
        <v>14</v>
      </c>
      <c r="K156" s="22"/>
    </row>
    <row r="157" spans="2:11">
      <c r="B157" s="4" t="s">
        <v>47</v>
      </c>
      <c r="C157" s="5">
        <f>IF(B157&lt;&gt;"",VLOOKUP(B157,Projetos!E:F,2,0),"")</f>
        <v>7</v>
      </c>
      <c r="D157" s="5"/>
      <c r="E157" s="4" t="s">
        <v>31</v>
      </c>
      <c r="F157" s="69" t="s">
        <v>54</v>
      </c>
      <c r="G157" s="5" t="s">
        <v>34</v>
      </c>
      <c r="H157" s="10">
        <v>45334</v>
      </c>
      <c r="I157" s="21">
        <v>4.1666666666666664E-2</v>
      </c>
      <c r="J157" s="5" t="s">
        <v>14</v>
      </c>
      <c r="K157" s="22"/>
    </row>
    <row r="158" spans="2:11">
      <c r="B158" s="4" t="s">
        <v>15</v>
      </c>
      <c r="C158" s="5">
        <f>IF(B158&lt;&gt;"",VLOOKUP(B158,Projetos!E:F,2,0),"")</f>
        <v>10</v>
      </c>
      <c r="D158" s="5"/>
      <c r="E158" s="4" t="s">
        <v>26</v>
      </c>
      <c r="F158" s="69" t="s">
        <v>29</v>
      </c>
      <c r="G158" s="5" t="s">
        <v>13</v>
      </c>
      <c r="H158" s="10">
        <v>45334</v>
      </c>
      <c r="I158" s="25">
        <v>0.16666666666666666</v>
      </c>
      <c r="J158" s="5" t="s">
        <v>14</v>
      </c>
      <c r="K158" s="22"/>
    </row>
    <row r="159" spans="2:11">
      <c r="B159" s="4" t="s">
        <v>15</v>
      </c>
      <c r="C159" s="5">
        <f>IF(B159&lt;&gt;"",VLOOKUP(B159,Projetos!E:F,2,0),"")</f>
        <v>10</v>
      </c>
      <c r="D159" s="5"/>
      <c r="E159" s="4" t="s">
        <v>25</v>
      </c>
      <c r="F159" s="69" t="s">
        <v>25</v>
      </c>
      <c r="G159" s="5" t="s">
        <v>18</v>
      </c>
      <c r="H159" s="10">
        <v>45334</v>
      </c>
      <c r="I159" s="25">
        <v>8.3333333333333329E-2</v>
      </c>
      <c r="J159" s="5" t="s">
        <v>14</v>
      </c>
      <c r="K159" s="22"/>
    </row>
    <row r="160" spans="2:11">
      <c r="B160" s="4" t="s">
        <v>15</v>
      </c>
      <c r="C160" s="5">
        <f>IF(B160&lt;&gt;"",VLOOKUP(B160,Projetos!E:F,2,0),"")</f>
        <v>10</v>
      </c>
      <c r="D160" s="5"/>
      <c r="E160" s="4" t="s">
        <v>23</v>
      </c>
      <c r="F160" s="69" t="s">
        <v>24</v>
      </c>
      <c r="G160" s="5" t="s">
        <v>19</v>
      </c>
      <c r="H160" s="10">
        <v>45334</v>
      </c>
      <c r="I160" s="25">
        <v>0.33333333333333331</v>
      </c>
      <c r="J160" s="5" t="s">
        <v>14</v>
      </c>
      <c r="K160" s="22"/>
    </row>
    <row r="161" spans="2:11">
      <c r="B161" s="4" t="s">
        <v>30</v>
      </c>
      <c r="C161" s="5">
        <f>IF(B161&lt;&gt;"",VLOOKUP(B161,Projetos!E:F,2,0),"")</f>
        <v>13</v>
      </c>
      <c r="D161" s="5"/>
      <c r="E161" s="4" t="s">
        <v>31</v>
      </c>
      <c r="F161" s="69" t="s">
        <v>32</v>
      </c>
      <c r="G161" s="5" t="s">
        <v>13</v>
      </c>
      <c r="H161" s="10">
        <v>45334</v>
      </c>
      <c r="I161" s="25">
        <v>8.3333333333333329E-2</v>
      </c>
      <c r="J161" s="5" t="s">
        <v>14</v>
      </c>
      <c r="K161" s="22"/>
    </row>
    <row r="162" spans="2:11">
      <c r="B162" s="4" t="s">
        <v>30</v>
      </c>
      <c r="C162" s="5">
        <f>IF(B162&lt;&gt;"",VLOOKUP(B162,Projetos!E:F,2,0),"")</f>
        <v>13</v>
      </c>
      <c r="D162" s="5"/>
      <c r="E162" s="4" t="s">
        <v>23</v>
      </c>
      <c r="F162" s="69" t="s">
        <v>55</v>
      </c>
      <c r="G162" s="5" t="s">
        <v>13</v>
      </c>
      <c r="H162" s="10">
        <v>45334</v>
      </c>
      <c r="I162" s="25">
        <v>0.25</v>
      </c>
      <c r="J162" s="5" t="s">
        <v>14</v>
      </c>
      <c r="K162" s="22"/>
    </row>
    <row r="163" spans="2:11">
      <c r="B163" s="4" t="s">
        <v>47</v>
      </c>
      <c r="C163" s="5">
        <f>IF(B163&lt;&gt;"",VLOOKUP(B163,Projetos!E:F,2,0),"")</f>
        <v>7</v>
      </c>
      <c r="D163" s="5"/>
      <c r="E163" s="4" t="s">
        <v>25</v>
      </c>
      <c r="F163" s="69" t="s">
        <v>52</v>
      </c>
      <c r="G163" s="5" t="s">
        <v>20</v>
      </c>
      <c r="H163" s="10">
        <v>45335</v>
      </c>
      <c r="I163" s="21">
        <v>4.1666666666666664E-2</v>
      </c>
      <c r="J163" s="5" t="s">
        <v>14</v>
      </c>
      <c r="K163" s="22"/>
    </row>
    <row r="164" spans="2:11">
      <c r="B164" s="4" t="s">
        <v>15</v>
      </c>
      <c r="C164" s="5">
        <f>IF(B164&lt;&gt;"",VLOOKUP(B164,Projetos!E:F,2,0),"")</f>
        <v>10</v>
      </c>
      <c r="D164" s="5"/>
      <c r="E164" s="4" t="s">
        <v>25</v>
      </c>
      <c r="F164" s="69" t="s">
        <v>25</v>
      </c>
      <c r="G164" s="5" t="s">
        <v>18</v>
      </c>
      <c r="H164" s="10">
        <v>45335</v>
      </c>
      <c r="I164" s="25">
        <v>8.3333333333333329E-2</v>
      </c>
      <c r="J164" s="5" t="s">
        <v>14</v>
      </c>
      <c r="K164" s="22"/>
    </row>
    <row r="165" spans="2:11">
      <c r="B165" s="4" t="s">
        <v>15</v>
      </c>
      <c r="C165" s="5">
        <f>IF(B165&lt;&gt;"",VLOOKUP(B165,Projetos!E:F,2,0),"")</f>
        <v>10</v>
      </c>
      <c r="D165" s="5"/>
      <c r="E165" s="4" t="s">
        <v>23</v>
      </c>
      <c r="F165" s="69" t="s">
        <v>24</v>
      </c>
      <c r="G165" s="5" t="s">
        <v>19</v>
      </c>
      <c r="H165" s="10">
        <v>45335</v>
      </c>
      <c r="I165" s="25">
        <v>0.33333333333333331</v>
      </c>
      <c r="J165" s="5" t="s">
        <v>14</v>
      </c>
      <c r="K165" s="22"/>
    </row>
    <row r="166" spans="2:11">
      <c r="B166" s="4" t="s">
        <v>30</v>
      </c>
      <c r="C166" s="5">
        <f>IF(B166&lt;&gt;"",VLOOKUP(B166,Projetos!E:F,2,0),"")</f>
        <v>13</v>
      </c>
      <c r="D166" s="5"/>
      <c r="E166" s="4" t="s">
        <v>23</v>
      </c>
      <c r="F166" s="69" t="s">
        <v>55</v>
      </c>
      <c r="G166" s="5" t="s">
        <v>13</v>
      </c>
      <c r="H166" s="10">
        <v>45335</v>
      </c>
      <c r="I166" s="25">
        <v>0.25</v>
      </c>
      <c r="J166" s="5" t="s">
        <v>14</v>
      </c>
      <c r="K166" s="22"/>
    </row>
    <row r="167" spans="2:11">
      <c r="B167" s="4" t="s">
        <v>10</v>
      </c>
      <c r="C167" s="5">
        <f>IF(B167&lt;&gt;"",VLOOKUP(B167,Projetos!E:F,2,0),"")</f>
        <v>2</v>
      </c>
      <c r="D167" s="5"/>
      <c r="E167" s="4" t="s">
        <v>26</v>
      </c>
      <c r="F167" s="69" t="s">
        <v>27</v>
      </c>
      <c r="G167" s="5" t="s">
        <v>28</v>
      </c>
      <c r="H167" s="10">
        <v>45336</v>
      </c>
      <c r="I167" s="21">
        <v>0.25</v>
      </c>
      <c r="J167" s="5" t="s">
        <v>14</v>
      </c>
      <c r="K167" s="22"/>
    </row>
    <row r="168" spans="2:11">
      <c r="B168" s="4" t="s">
        <v>10</v>
      </c>
      <c r="C168" s="5">
        <f>IF(B168&lt;&gt;"",VLOOKUP(B168,Projetos!E:F,2,0),"")</f>
        <v>2</v>
      </c>
      <c r="D168" s="5"/>
      <c r="E168" s="4" t="s">
        <v>31</v>
      </c>
      <c r="F168" s="69" t="s">
        <v>39</v>
      </c>
      <c r="G168" s="5" t="s">
        <v>34</v>
      </c>
      <c r="H168" s="10">
        <v>45336</v>
      </c>
      <c r="I168" s="21">
        <v>0.16666666666666666</v>
      </c>
      <c r="J168" s="5" t="s">
        <v>14</v>
      </c>
      <c r="K168" s="22"/>
    </row>
    <row r="169" spans="2:11">
      <c r="B169" s="4" t="s">
        <v>10</v>
      </c>
      <c r="C169" s="5">
        <f>IF(B169&lt;&gt;"",VLOOKUP(B169,Projetos!E:F,2,0),"")</f>
        <v>2</v>
      </c>
      <c r="D169" s="5"/>
      <c r="E169" s="4" t="s">
        <v>40</v>
      </c>
      <c r="F169" s="69" t="s">
        <v>41</v>
      </c>
      <c r="G169" s="5" t="s">
        <v>42</v>
      </c>
      <c r="H169" s="10">
        <v>45336</v>
      </c>
      <c r="I169" s="21">
        <v>0.33333333333333331</v>
      </c>
      <c r="J169" s="5" t="s">
        <v>14</v>
      </c>
      <c r="K169" s="22"/>
    </row>
    <row r="170" spans="2:11">
      <c r="B170" s="4" t="s">
        <v>56</v>
      </c>
      <c r="C170" s="5">
        <f>IF(B170&lt;&gt;"",VLOOKUP(B170,Projetos!E:F,2,0),"")</f>
        <v>6</v>
      </c>
      <c r="D170" s="5"/>
      <c r="E170" s="4" t="s">
        <v>16</v>
      </c>
      <c r="F170" s="69" t="s">
        <v>44</v>
      </c>
      <c r="G170" s="5" t="s">
        <v>20</v>
      </c>
      <c r="H170" s="10">
        <v>45336</v>
      </c>
      <c r="I170" s="21">
        <v>4.1666666666666664E-2</v>
      </c>
      <c r="J170" s="5" t="s">
        <v>14</v>
      </c>
      <c r="K170" s="22"/>
    </row>
    <row r="171" spans="2:11">
      <c r="B171" s="4" t="s">
        <v>56</v>
      </c>
      <c r="C171" s="5">
        <f>IF(B171&lt;&gt;"",VLOOKUP(B171,Projetos!E:F,2,0),"")</f>
        <v>6</v>
      </c>
      <c r="D171" s="5"/>
      <c r="E171" s="4" t="s">
        <v>16</v>
      </c>
      <c r="F171" s="69" t="s">
        <v>44</v>
      </c>
      <c r="G171" s="5" t="s">
        <v>34</v>
      </c>
      <c r="H171" s="10">
        <v>45336</v>
      </c>
      <c r="I171" s="21">
        <v>4.1666666666666664E-2</v>
      </c>
      <c r="J171" s="5" t="s">
        <v>14</v>
      </c>
      <c r="K171" s="22"/>
    </row>
    <row r="172" spans="2:11">
      <c r="B172" s="4" t="s">
        <v>56</v>
      </c>
      <c r="C172" s="5">
        <f>IF(B172&lt;&gt;"",VLOOKUP(B172,Projetos!E:F,2,0),"")</f>
        <v>6</v>
      </c>
      <c r="D172" s="5"/>
      <c r="E172" s="4" t="s">
        <v>26</v>
      </c>
      <c r="F172" s="69" t="s">
        <v>57</v>
      </c>
      <c r="G172" s="5" t="s">
        <v>34</v>
      </c>
      <c r="H172" s="10">
        <v>45336</v>
      </c>
      <c r="I172" s="21">
        <v>0.125</v>
      </c>
      <c r="J172" s="5" t="s">
        <v>14</v>
      </c>
      <c r="K172" s="22"/>
    </row>
    <row r="173" spans="2:11">
      <c r="B173" s="4" t="s">
        <v>35</v>
      </c>
      <c r="C173" s="5">
        <f>IF(B173&lt;&gt;"",VLOOKUP(B173,Projetos!E:F,2,0),"")</f>
        <v>9</v>
      </c>
      <c r="D173" s="5"/>
      <c r="E173" s="4" t="s">
        <v>49</v>
      </c>
      <c r="F173" s="69" t="s">
        <v>50</v>
      </c>
      <c r="G173" s="5" t="s">
        <v>20</v>
      </c>
      <c r="H173" s="10">
        <v>45336</v>
      </c>
      <c r="I173" s="25">
        <v>8.3333333333333329E-2</v>
      </c>
      <c r="J173" s="5" t="s">
        <v>14</v>
      </c>
      <c r="K173" s="22"/>
    </row>
    <row r="174" spans="2:11">
      <c r="B174" s="4" t="s">
        <v>15</v>
      </c>
      <c r="C174" s="5">
        <f>IF(B174&lt;&gt;"",VLOOKUP(B174,Projetos!E:F,2,0),"")</f>
        <v>10</v>
      </c>
      <c r="D174" s="5"/>
      <c r="E174" s="4" t="s">
        <v>25</v>
      </c>
      <c r="F174" s="69" t="s">
        <v>25</v>
      </c>
      <c r="G174" s="5" t="s">
        <v>18</v>
      </c>
      <c r="H174" s="10">
        <v>45336</v>
      </c>
      <c r="I174" s="25">
        <v>8.3333333333333329E-2</v>
      </c>
      <c r="J174" s="5" t="s">
        <v>14</v>
      </c>
      <c r="K174" s="22"/>
    </row>
    <row r="175" spans="2:11">
      <c r="B175" s="4" t="s">
        <v>15</v>
      </c>
      <c r="C175" s="5">
        <f>IF(B175&lt;&gt;"",VLOOKUP(B175,Projetos!E:F,2,0),"")</f>
        <v>10</v>
      </c>
      <c r="D175" s="5"/>
      <c r="E175" s="4" t="s">
        <v>23</v>
      </c>
      <c r="F175" s="69" t="s">
        <v>24</v>
      </c>
      <c r="G175" s="5" t="s">
        <v>19</v>
      </c>
      <c r="H175" s="10">
        <v>45336</v>
      </c>
      <c r="I175" s="25">
        <v>0.33333333333333331</v>
      </c>
      <c r="J175" s="5" t="s">
        <v>14</v>
      </c>
      <c r="K175" s="22"/>
    </row>
    <row r="176" spans="2:11">
      <c r="B176" s="4" t="s">
        <v>30</v>
      </c>
      <c r="C176" s="5">
        <f>IF(B176&lt;&gt;"",VLOOKUP(B176,Projetos!E:F,2,0),"")</f>
        <v>13</v>
      </c>
      <c r="D176" s="5"/>
      <c r="E176" s="4" t="s">
        <v>23</v>
      </c>
      <c r="F176" s="69" t="s">
        <v>55</v>
      </c>
      <c r="G176" s="5" t="s">
        <v>13</v>
      </c>
      <c r="H176" s="10">
        <v>45336</v>
      </c>
      <c r="I176" s="25">
        <v>0.25</v>
      </c>
      <c r="J176" s="5" t="s">
        <v>14</v>
      </c>
      <c r="K176" s="22"/>
    </row>
    <row r="177" spans="2:11">
      <c r="B177" s="4" t="s">
        <v>10</v>
      </c>
      <c r="C177" s="5">
        <f>IF(B177&lt;&gt;"",VLOOKUP(B177,Projetos!E:F,2,0),"")</f>
        <v>2</v>
      </c>
      <c r="D177" s="5"/>
      <c r="E177" s="4" t="s">
        <v>26</v>
      </c>
      <c r="F177" s="69" t="s">
        <v>27</v>
      </c>
      <c r="G177" s="5" t="s">
        <v>28</v>
      </c>
      <c r="H177" s="10">
        <v>45337</v>
      </c>
      <c r="I177" s="21">
        <v>0.25</v>
      </c>
      <c r="J177" s="5" t="s">
        <v>14</v>
      </c>
      <c r="K177" s="22"/>
    </row>
    <row r="178" spans="2:11">
      <c r="B178" s="4" t="s">
        <v>10</v>
      </c>
      <c r="C178" s="5">
        <f>IF(B178&lt;&gt;"",VLOOKUP(B178,Projetos!E:F,2,0),"")</f>
        <v>2</v>
      </c>
      <c r="D178" s="5"/>
      <c r="E178" s="4" t="s">
        <v>31</v>
      </c>
      <c r="F178" s="69" t="s">
        <v>39</v>
      </c>
      <c r="G178" s="5" t="s">
        <v>34</v>
      </c>
      <c r="H178" s="10">
        <v>45337</v>
      </c>
      <c r="I178" s="21">
        <v>0.16666666666666666</v>
      </c>
      <c r="J178" s="5" t="s">
        <v>14</v>
      </c>
      <c r="K178" s="22"/>
    </row>
    <row r="179" spans="2:11">
      <c r="B179" s="4" t="s">
        <v>10</v>
      </c>
      <c r="C179" s="5">
        <f>IF(B179&lt;&gt;"",VLOOKUP(B179,Projetos!E:F,2,0),"")</f>
        <v>2</v>
      </c>
      <c r="D179" s="5"/>
      <c r="E179" s="4" t="s">
        <v>40</v>
      </c>
      <c r="F179" s="69" t="s">
        <v>41</v>
      </c>
      <c r="G179" s="5" t="s">
        <v>42</v>
      </c>
      <c r="H179" s="10">
        <v>45337</v>
      </c>
      <c r="I179" s="21">
        <v>0.33333333333333331</v>
      </c>
      <c r="J179" s="5" t="s">
        <v>14</v>
      </c>
      <c r="K179" s="22"/>
    </row>
    <row r="180" spans="2:11">
      <c r="B180" s="4" t="s">
        <v>56</v>
      </c>
      <c r="C180" s="5">
        <f>IF(B180&lt;&gt;"",VLOOKUP(B180,Projetos!E:F,2,0),"")</f>
        <v>6</v>
      </c>
      <c r="D180" s="5"/>
      <c r="E180" s="4" t="s">
        <v>31</v>
      </c>
      <c r="F180" s="69" t="s">
        <v>58</v>
      </c>
      <c r="G180" s="5" t="s">
        <v>20</v>
      </c>
      <c r="H180" s="10">
        <v>45337</v>
      </c>
      <c r="I180" s="21">
        <v>0.20833333333333334</v>
      </c>
      <c r="J180" s="5" t="s">
        <v>14</v>
      </c>
      <c r="K180" s="22"/>
    </row>
    <row r="181" spans="2:11">
      <c r="B181" s="4" t="s">
        <v>15</v>
      </c>
      <c r="C181" s="5">
        <f>IF(B181&lt;&gt;"",VLOOKUP(B181,Projetos!E:F,2,0),"")</f>
        <v>10</v>
      </c>
      <c r="D181" s="5"/>
      <c r="E181" s="4" t="s">
        <v>25</v>
      </c>
      <c r="F181" s="69" t="s">
        <v>25</v>
      </c>
      <c r="G181" s="5" t="s">
        <v>18</v>
      </c>
      <c r="H181" s="10">
        <v>45337</v>
      </c>
      <c r="I181" s="25">
        <v>8.3333333333333329E-2</v>
      </c>
      <c r="J181" s="5" t="s">
        <v>14</v>
      </c>
      <c r="K181" s="22"/>
    </row>
    <row r="182" spans="2:11">
      <c r="B182" s="4" t="s">
        <v>15</v>
      </c>
      <c r="C182" s="5">
        <f>IF(B182&lt;&gt;"",VLOOKUP(B182,Projetos!E:F,2,0),"")</f>
        <v>10</v>
      </c>
      <c r="D182" s="5"/>
      <c r="E182" s="4" t="s">
        <v>23</v>
      </c>
      <c r="F182" s="69" t="s">
        <v>24</v>
      </c>
      <c r="G182" s="5" t="s">
        <v>19</v>
      </c>
      <c r="H182" s="10">
        <v>45337</v>
      </c>
      <c r="I182" s="25">
        <v>0.33333333333333331</v>
      </c>
      <c r="J182" s="5" t="s">
        <v>14</v>
      </c>
      <c r="K182" s="22"/>
    </row>
    <row r="183" spans="2:11">
      <c r="B183" s="4" t="s">
        <v>30</v>
      </c>
      <c r="C183" s="5">
        <f>IF(B183&lt;&gt;"",VLOOKUP(B183,Projetos!E:F,2,0),"")</f>
        <v>13</v>
      </c>
      <c r="D183" s="5"/>
      <c r="E183" s="4" t="s">
        <v>23</v>
      </c>
      <c r="F183" s="69" t="s">
        <v>55</v>
      </c>
      <c r="G183" s="5" t="s">
        <v>13</v>
      </c>
      <c r="H183" s="10">
        <v>45337</v>
      </c>
      <c r="I183" s="25">
        <v>0.25</v>
      </c>
      <c r="J183" s="5" t="s">
        <v>14</v>
      </c>
      <c r="K183" s="22"/>
    </row>
    <row r="184" spans="2:11">
      <c r="B184" s="4" t="s">
        <v>10</v>
      </c>
      <c r="C184" s="5">
        <f>IF(B184&lt;&gt;"",VLOOKUP(B184,Projetos!E:F,2,0),"")</f>
        <v>2</v>
      </c>
      <c r="D184" s="5"/>
      <c r="E184" s="4" t="s">
        <v>26</v>
      </c>
      <c r="F184" s="69" t="s">
        <v>27</v>
      </c>
      <c r="G184" s="5" t="s">
        <v>28</v>
      </c>
      <c r="H184" s="10">
        <v>45338</v>
      </c>
      <c r="I184" s="21">
        <v>0.25</v>
      </c>
      <c r="J184" s="5" t="s">
        <v>14</v>
      </c>
      <c r="K184" s="22"/>
    </row>
    <row r="185" spans="2:11">
      <c r="B185" s="4" t="s">
        <v>10</v>
      </c>
      <c r="C185" s="5">
        <f>IF(B185&lt;&gt;"",VLOOKUP(B185,Projetos!E:F,2,0),"")</f>
        <v>2</v>
      </c>
      <c r="D185" s="5"/>
      <c r="E185" s="4" t="s">
        <v>31</v>
      </c>
      <c r="F185" s="69" t="s">
        <v>39</v>
      </c>
      <c r="G185" s="5" t="s">
        <v>34</v>
      </c>
      <c r="H185" s="10">
        <v>45338</v>
      </c>
      <c r="I185" s="21">
        <v>0.16666666666666666</v>
      </c>
      <c r="J185" s="5" t="s">
        <v>14</v>
      </c>
      <c r="K185" s="22"/>
    </row>
    <row r="186" spans="2:11">
      <c r="B186" s="4" t="s">
        <v>10</v>
      </c>
      <c r="C186" s="5">
        <f>IF(B186&lt;&gt;"",VLOOKUP(B186,Projetos!E:F,2,0),"")</f>
        <v>2</v>
      </c>
      <c r="D186" s="5"/>
      <c r="E186" s="4" t="s">
        <v>40</v>
      </c>
      <c r="F186" s="69" t="s">
        <v>41</v>
      </c>
      <c r="G186" s="5" t="s">
        <v>42</v>
      </c>
      <c r="H186" s="10">
        <v>45338</v>
      </c>
      <c r="I186" s="21">
        <v>0.33333333333333331</v>
      </c>
      <c r="J186" s="5" t="s">
        <v>14</v>
      </c>
      <c r="K186" s="22"/>
    </row>
    <row r="187" spans="2:11">
      <c r="B187" s="4" t="s">
        <v>56</v>
      </c>
      <c r="C187" s="5">
        <f>IF(B187&lt;&gt;"",VLOOKUP(B187,Projetos!E:F,2,0),"")</f>
        <v>6</v>
      </c>
      <c r="D187" s="5"/>
      <c r="E187" s="4" t="s">
        <v>49</v>
      </c>
      <c r="F187" s="69" t="s">
        <v>59</v>
      </c>
      <c r="G187" s="5" t="s">
        <v>20</v>
      </c>
      <c r="H187" s="10">
        <v>45338</v>
      </c>
      <c r="I187" s="21">
        <v>8.3333333333333329E-2</v>
      </c>
      <c r="J187" s="5" t="s">
        <v>14</v>
      </c>
      <c r="K187" s="22"/>
    </row>
    <row r="188" spans="2:11">
      <c r="B188" s="4" t="s">
        <v>15</v>
      </c>
      <c r="C188" s="5">
        <f>IF(B188&lt;&gt;"",VLOOKUP(B188,Projetos!E:F,2,0),"")</f>
        <v>10</v>
      </c>
      <c r="D188" s="5"/>
      <c r="E188" s="4" t="s">
        <v>25</v>
      </c>
      <c r="F188" s="69" t="s">
        <v>25</v>
      </c>
      <c r="G188" s="5" t="s">
        <v>18</v>
      </c>
      <c r="H188" s="10">
        <v>45338</v>
      </c>
      <c r="I188" s="25">
        <v>8.3333333333333329E-2</v>
      </c>
      <c r="J188" s="5" t="s">
        <v>14</v>
      </c>
      <c r="K188" s="22"/>
    </row>
    <row r="189" spans="2:11">
      <c r="B189" s="4" t="s">
        <v>15</v>
      </c>
      <c r="C189" s="5">
        <f>IF(B189&lt;&gt;"",VLOOKUP(B189,Projetos!E:F,2,0),"")</f>
        <v>10</v>
      </c>
      <c r="D189" s="5"/>
      <c r="E189" s="4" t="s">
        <v>23</v>
      </c>
      <c r="F189" s="69" t="s">
        <v>24</v>
      </c>
      <c r="G189" s="5" t="s">
        <v>19</v>
      </c>
      <c r="H189" s="10">
        <v>45338</v>
      </c>
      <c r="I189" s="25">
        <v>0.33333333333333331</v>
      </c>
      <c r="J189" s="5" t="s">
        <v>14</v>
      </c>
      <c r="K189" s="22"/>
    </row>
    <row r="190" spans="2:11">
      <c r="B190" s="4" t="s">
        <v>30</v>
      </c>
      <c r="C190" s="5">
        <f>IF(B190&lt;&gt;"",VLOOKUP(B190,Projetos!E:F,2,0),"")</f>
        <v>13</v>
      </c>
      <c r="D190" s="5"/>
      <c r="E190" s="4" t="s">
        <v>23</v>
      </c>
      <c r="F190" s="69" t="s">
        <v>55</v>
      </c>
      <c r="G190" s="5" t="s">
        <v>13</v>
      </c>
      <c r="H190" s="10">
        <v>45338</v>
      </c>
      <c r="I190" s="25">
        <v>0.25</v>
      </c>
      <c r="J190" s="5" t="s">
        <v>14</v>
      </c>
      <c r="K190" s="22"/>
    </row>
    <row r="191" spans="2:11">
      <c r="B191" s="4" t="s">
        <v>60</v>
      </c>
      <c r="C191" s="5">
        <f>IF(B191&lt;&gt;"",VLOOKUP(B191,Projetos!E:F,2,0),"")</f>
        <v>8</v>
      </c>
      <c r="D191" s="5"/>
      <c r="E191" s="4" t="s">
        <v>16</v>
      </c>
      <c r="F191" s="69" t="s">
        <v>48</v>
      </c>
      <c r="G191" s="5" t="s">
        <v>20</v>
      </c>
      <c r="H191" s="10">
        <v>45340</v>
      </c>
      <c r="I191" s="21">
        <v>4.1666666666666664E-2</v>
      </c>
      <c r="J191" s="5" t="s">
        <v>14</v>
      </c>
      <c r="K191" s="22"/>
    </row>
    <row r="192" spans="2:11">
      <c r="B192" s="4" t="s">
        <v>60</v>
      </c>
      <c r="C192" s="5">
        <f>IF(B192&lt;&gt;"",VLOOKUP(B192,Projetos!E:F,2,0),"")</f>
        <v>8</v>
      </c>
      <c r="D192" s="5"/>
      <c r="E192" s="4" t="s">
        <v>26</v>
      </c>
      <c r="F192" s="69" t="s">
        <v>53</v>
      </c>
      <c r="G192" s="5" t="s">
        <v>34</v>
      </c>
      <c r="H192" s="10">
        <v>45340</v>
      </c>
      <c r="I192" s="21">
        <v>8.3333333333333329E-2</v>
      </c>
      <c r="J192" s="5" t="s">
        <v>14</v>
      </c>
      <c r="K192" s="22"/>
    </row>
    <row r="193" spans="2:11">
      <c r="B193" s="4" t="s">
        <v>60</v>
      </c>
      <c r="C193" s="5">
        <f>IF(B193&lt;&gt;"",VLOOKUP(B193,Projetos!E:F,2,0),"")</f>
        <v>8</v>
      </c>
      <c r="D193" s="5"/>
      <c r="E193" s="4" t="s">
        <v>31</v>
      </c>
      <c r="F193" s="69" t="s">
        <v>54</v>
      </c>
      <c r="G193" s="5" t="s">
        <v>34</v>
      </c>
      <c r="H193" s="10">
        <v>45340</v>
      </c>
      <c r="I193" s="21">
        <v>4.1666666666666664E-2</v>
      </c>
      <c r="J193" s="5" t="s">
        <v>14</v>
      </c>
      <c r="K193" s="22"/>
    </row>
    <row r="194" spans="2:11">
      <c r="B194" s="4" t="s">
        <v>10</v>
      </c>
      <c r="C194" s="5">
        <f>IF(B194&lt;&gt;"",VLOOKUP(B194,Projetos!E:F,2,0),"")</f>
        <v>2</v>
      </c>
      <c r="D194" s="5"/>
      <c r="E194" s="4" t="s">
        <v>26</v>
      </c>
      <c r="F194" s="69" t="s">
        <v>27</v>
      </c>
      <c r="G194" s="5" t="s">
        <v>28</v>
      </c>
      <c r="H194" s="10">
        <v>45341</v>
      </c>
      <c r="I194" s="21">
        <v>0.25</v>
      </c>
      <c r="J194" s="5" t="s">
        <v>14</v>
      </c>
      <c r="K194" s="22"/>
    </row>
    <row r="195" spans="2:11">
      <c r="B195" s="4" t="s">
        <v>10</v>
      </c>
      <c r="C195" s="5">
        <f>IF(B195&lt;&gt;"",VLOOKUP(B195,Projetos!E:F,2,0),"")</f>
        <v>2</v>
      </c>
      <c r="D195" s="5"/>
      <c r="E195" s="4" t="s">
        <v>31</v>
      </c>
      <c r="F195" s="69" t="s">
        <v>39</v>
      </c>
      <c r="G195" s="5" t="s">
        <v>34</v>
      </c>
      <c r="H195" s="10">
        <v>45341</v>
      </c>
      <c r="I195" s="21">
        <v>0.16666666666666666</v>
      </c>
      <c r="J195" s="5" t="s">
        <v>14</v>
      </c>
      <c r="K195" s="22"/>
    </row>
    <row r="196" spans="2:11">
      <c r="B196" s="4" t="s">
        <v>10</v>
      </c>
      <c r="C196" s="5">
        <f>IF(B196&lt;&gt;"",VLOOKUP(B196,Projetos!E:F,2,0),"")</f>
        <v>2</v>
      </c>
      <c r="D196" s="5"/>
      <c r="E196" s="4" t="s">
        <v>40</v>
      </c>
      <c r="F196" s="69" t="s">
        <v>41</v>
      </c>
      <c r="G196" s="5" t="s">
        <v>42</v>
      </c>
      <c r="H196" s="10">
        <v>45341</v>
      </c>
      <c r="I196" s="21">
        <v>0.33333333333333331</v>
      </c>
      <c r="J196" s="5" t="s">
        <v>14</v>
      </c>
      <c r="K196" s="22"/>
    </row>
    <row r="197" spans="2:11">
      <c r="B197" s="4" t="s">
        <v>60</v>
      </c>
      <c r="C197" s="5">
        <f>IF(B197&lt;&gt;"",VLOOKUP(B197,Projetos!E:F,2,0),"")</f>
        <v>8</v>
      </c>
      <c r="D197" s="5"/>
      <c r="E197" s="4" t="s">
        <v>25</v>
      </c>
      <c r="F197" s="69" t="s">
        <v>52</v>
      </c>
      <c r="G197" s="5" t="s">
        <v>20</v>
      </c>
      <c r="H197" s="10">
        <v>45341</v>
      </c>
      <c r="I197" s="21">
        <v>4.1666666666666664E-2</v>
      </c>
      <c r="J197" s="5" t="s">
        <v>14</v>
      </c>
      <c r="K197" s="22"/>
    </row>
    <row r="198" spans="2:11">
      <c r="B198" s="4" t="s">
        <v>15</v>
      </c>
      <c r="C198" s="5">
        <f>IF(B198&lt;&gt;"",VLOOKUP(B198,Projetos!E:F,2,0),"")</f>
        <v>10</v>
      </c>
      <c r="D198" s="5"/>
      <c r="E198" s="4" t="s">
        <v>25</v>
      </c>
      <c r="F198" s="69" t="s">
        <v>25</v>
      </c>
      <c r="G198" s="5" t="s">
        <v>18</v>
      </c>
      <c r="H198" s="10">
        <v>45341</v>
      </c>
      <c r="I198" s="25">
        <v>8.3333333333333329E-2</v>
      </c>
      <c r="J198" s="5" t="s">
        <v>14</v>
      </c>
      <c r="K198" s="22"/>
    </row>
    <row r="199" spans="2:11">
      <c r="B199" s="4" t="s">
        <v>15</v>
      </c>
      <c r="C199" s="5">
        <f>IF(B199&lt;&gt;"",VLOOKUP(B199,Projetos!E:F,2,0),"")</f>
        <v>10</v>
      </c>
      <c r="D199" s="5"/>
      <c r="E199" s="4" t="s">
        <v>23</v>
      </c>
      <c r="F199" s="69" t="s">
        <v>24</v>
      </c>
      <c r="G199" s="5" t="s">
        <v>19</v>
      </c>
      <c r="H199" s="10">
        <v>45341</v>
      </c>
      <c r="I199" s="25">
        <v>0.33333333333333331</v>
      </c>
      <c r="J199" s="5" t="s">
        <v>14</v>
      </c>
      <c r="K199" s="22"/>
    </row>
    <row r="200" spans="2:11">
      <c r="B200" s="4" t="s">
        <v>30</v>
      </c>
      <c r="C200" s="5">
        <f>IF(B200&lt;&gt;"",VLOOKUP(B200,Projetos!E:F,2,0),"")</f>
        <v>13</v>
      </c>
      <c r="D200" s="5"/>
      <c r="E200" s="4" t="s">
        <v>23</v>
      </c>
      <c r="F200" s="69" t="s">
        <v>55</v>
      </c>
      <c r="G200" s="5" t="s">
        <v>13</v>
      </c>
      <c r="H200" s="10">
        <v>45341</v>
      </c>
      <c r="I200" s="25">
        <v>0.25</v>
      </c>
      <c r="J200" s="5" t="s">
        <v>14</v>
      </c>
      <c r="K200" s="22"/>
    </row>
    <row r="201" spans="2:11">
      <c r="B201" s="4" t="s">
        <v>61</v>
      </c>
      <c r="C201" s="5">
        <f>IF(B201&lt;&gt;"",VLOOKUP(B201,Projetos!E:F,2,0),"")</f>
        <v>11</v>
      </c>
      <c r="D201" s="5"/>
      <c r="E201" s="4" t="s">
        <v>31</v>
      </c>
      <c r="F201" s="69" t="s">
        <v>62</v>
      </c>
      <c r="G201" s="5" t="s">
        <v>34</v>
      </c>
      <c r="H201" s="10">
        <v>45341</v>
      </c>
      <c r="I201" s="25">
        <v>0.33333333333333331</v>
      </c>
      <c r="J201" s="5" t="s">
        <v>14</v>
      </c>
      <c r="K201" s="22"/>
    </row>
    <row r="202" spans="2:11">
      <c r="B202" s="4" t="s">
        <v>10</v>
      </c>
      <c r="C202" s="5">
        <f>IF(B202&lt;&gt;"",VLOOKUP(B202,Projetos!E:F,2,0),"")</f>
        <v>2</v>
      </c>
      <c r="D202" s="5"/>
      <c r="E202" s="4" t="s">
        <v>26</v>
      </c>
      <c r="F202" s="69" t="s">
        <v>27</v>
      </c>
      <c r="G202" s="5" t="s">
        <v>28</v>
      </c>
      <c r="H202" s="10">
        <v>45342</v>
      </c>
      <c r="I202" s="21">
        <v>0.25</v>
      </c>
      <c r="J202" s="5" t="s">
        <v>14</v>
      </c>
      <c r="K202" s="22"/>
    </row>
    <row r="203" spans="2:11">
      <c r="B203" s="4" t="s">
        <v>10</v>
      </c>
      <c r="C203" s="5">
        <f>IF(B203&lt;&gt;"",VLOOKUP(B203,Projetos!E:F,2,0),"")</f>
        <v>2</v>
      </c>
      <c r="D203" s="5"/>
      <c r="E203" s="4" t="s">
        <v>31</v>
      </c>
      <c r="F203" s="69" t="s">
        <v>39</v>
      </c>
      <c r="G203" s="5" t="s">
        <v>34</v>
      </c>
      <c r="H203" s="10">
        <v>45342</v>
      </c>
      <c r="I203" s="21">
        <v>0.16666666666666666</v>
      </c>
      <c r="J203" s="5" t="s">
        <v>14</v>
      </c>
      <c r="K203" s="22"/>
    </row>
    <row r="204" spans="2:11">
      <c r="B204" s="4" t="s">
        <v>10</v>
      </c>
      <c r="C204" s="5">
        <f>IF(B204&lt;&gt;"",VLOOKUP(B204,Projetos!E:F,2,0),"")</f>
        <v>2</v>
      </c>
      <c r="D204" s="5"/>
      <c r="E204" s="4" t="s">
        <v>40</v>
      </c>
      <c r="F204" s="69" t="s">
        <v>41</v>
      </c>
      <c r="G204" s="5" t="s">
        <v>42</v>
      </c>
      <c r="H204" s="10">
        <v>45342</v>
      </c>
      <c r="I204" s="21">
        <v>0.33333333333333331</v>
      </c>
      <c r="J204" s="5" t="s">
        <v>14</v>
      </c>
      <c r="K204" s="22"/>
    </row>
    <row r="205" spans="2:11">
      <c r="B205" s="4" t="s">
        <v>15</v>
      </c>
      <c r="C205" s="5">
        <f>IF(B205&lt;&gt;"",VLOOKUP(B205,Projetos!E:F,2,0),"")</f>
        <v>10</v>
      </c>
      <c r="D205" s="5"/>
      <c r="E205" s="4" t="s">
        <v>25</v>
      </c>
      <c r="F205" s="69" t="s">
        <v>25</v>
      </c>
      <c r="G205" s="5" t="s">
        <v>18</v>
      </c>
      <c r="H205" s="10">
        <v>45342</v>
      </c>
      <c r="I205" s="25">
        <v>8.3333333333333329E-2</v>
      </c>
      <c r="J205" s="5" t="s">
        <v>14</v>
      </c>
      <c r="K205" s="22"/>
    </row>
    <row r="206" spans="2:11">
      <c r="B206" s="4" t="s">
        <v>15</v>
      </c>
      <c r="C206" s="5">
        <f>IF(B206&lt;&gt;"",VLOOKUP(B206,Projetos!E:F,2,0),"")</f>
        <v>10</v>
      </c>
      <c r="D206" s="5"/>
      <c r="E206" s="4" t="s">
        <v>23</v>
      </c>
      <c r="F206" s="69" t="s">
        <v>24</v>
      </c>
      <c r="G206" s="5" t="s">
        <v>19</v>
      </c>
      <c r="H206" s="10">
        <v>45342</v>
      </c>
      <c r="I206" s="25">
        <v>0.33333333333333331</v>
      </c>
      <c r="J206" s="5" t="s">
        <v>14</v>
      </c>
      <c r="K206" s="22"/>
    </row>
    <row r="207" spans="2:11">
      <c r="B207" s="4" t="s">
        <v>30</v>
      </c>
      <c r="C207" s="5">
        <f>IF(B207&lt;&gt;"",VLOOKUP(B207,Projetos!E:F,2,0),"")</f>
        <v>13</v>
      </c>
      <c r="D207" s="5"/>
      <c r="E207" s="4" t="s">
        <v>23</v>
      </c>
      <c r="F207" s="69" t="s">
        <v>55</v>
      </c>
      <c r="G207" s="5" t="s">
        <v>13</v>
      </c>
      <c r="H207" s="10">
        <v>45342</v>
      </c>
      <c r="I207" s="25">
        <v>0.25</v>
      </c>
      <c r="J207" s="5" t="s">
        <v>14</v>
      </c>
      <c r="K207" s="22"/>
    </row>
    <row r="208" spans="2:11">
      <c r="B208" s="4" t="s">
        <v>61</v>
      </c>
      <c r="C208" s="5">
        <f>IF(B208&lt;&gt;"",VLOOKUP(B208,Projetos!E:F,2,0),"")</f>
        <v>11</v>
      </c>
      <c r="D208" s="5"/>
      <c r="E208" s="4" t="s">
        <v>31</v>
      </c>
      <c r="F208" s="69" t="s">
        <v>62</v>
      </c>
      <c r="G208" s="5" t="s">
        <v>34</v>
      </c>
      <c r="H208" s="10">
        <v>45342</v>
      </c>
      <c r="I208" s="25">
        <v>0.29166666666666669</v>
      </c>
      <c r="J208" s="5" t="s">
        <v>14</v>
      </c>
      <c r="K208" s="22"/>
    </row>
    <row r="209" spans="2:11">
      <c r="B209" s="4" t="s">
        <v>10</v>
      </c>
      <c r="C209" s="5">
        <f>IF(B209&lt;&gt;"",VLOOKUP(B209,Projetos!E:F,2,0),"")</f>
        <v>2</v>
      </c>
      <c r="D209" s="5"/>
      <c r="E209" s="4" t="s">
        <v>26</v>
      </c>
      <c r="F209" s="69" t="s">
        <v>27</v>
      </c>
      <c r="G209" s="5" t="s">
        <v>28</v>
      </c>
      <c r="H209" s="10">
        <v>45343</v>
      </c>
      <c r="I209" s="21">
        <v>0.25</v>
      </c>
      <c r="J209" s="5" t="s">
        <v>14</v>
      </c>
      <c r="K209" s="22"/>
    </row>
    <row r="210" spans="2:11">
      <c r="B210" s="4" t="s">
        <v>10</v>
      </c>
      <c r="C210" s="5">
        <f>IF(B210&lt;&gt;"",VLOOKUP(B210,Projetos!E:F,2,0),"")</f>
        <v>2</v>
      </c>
      <c r="D210" s="5"/>
      <c r="E210" s="4" t="s">
        <v>31</v>
      </c>
      <c r="F210" s="69" t="s">
        <v>39</v>
      </c>
      <c r="G210" s="5" t="s">
        <v>34</v>
      </c>
      <c r="H210" s="10">
        <v>45343</v>
      </c>
      <c r="I210" s="21">
        <v>0.16666666666666666</v>
      </c>
      <c r="J210" s="5" t="s">
        <v>14</v>
      </c>
      <c r="K210" s="22"/>
    </row>
    <row r="211" spans="2:11">
      <c r="B211" s="4" t="s">
        <v>10</v>
      </c>
      <c r="C211" s="5">
        <f>IF(B211&lt;&gt;"",VLOOKUP(B211,Projetos!E:F,2,0),"")</f>
        <v>2</v>
      </c>
      <c r="D211" s="5"/>
      <c r="E211" s="4" t="s">
        <v>40</v>
      </c>
      <c r="F211" s="69" t="s">
        <v>41</v>
      </c>
      <c r="G211" s="5" t="s">
        <v>42</v>
      </c>
      <c r="H211" s="10">
        <v>45343</v>
      </c>
      <c r="I211" s="21">
        <v>0.33333333333333331</v>
      </c>
      <c r="J211" s="5" t="s">
        <v>14</v>
      </c>
      <c r="K211" s="22"/>
    </row>
    <row r="212" spans="2:11">
      <c r="B212" s="4" t="s">
        <v>63</v>
      </c>
      <c r="C212" s="5">
        <f>IF(B212&lt;&gt;"",VLOOKUP(B212,Projetos!E:F,2,0),"")</f>
        <v>4</v>
      </c>
      <c r="D212" s="5"/>
      <c r="E212" s="4" t="s">
        <v>16</v>
      </c>
      <c r="F212" s="69" t="s">
        <v>44</v>
      </c>
      <c r="G212" s="5" t="s">
        <v>20</v>
      </c>
      <c r="H212" s="10">
        <v>45343</v>
      </c>
      <c r="I212" s="21">
        <v>4.1666666666666664E-2</v>
      </c>
      <c r="J212" s="5" t="s">
        <v>14</v>
      </c>
      <c r="K212" s="22"/>
    </row>
    <row r="213" spans="2:11">
      <c r="B213" s="4" t="s">
        <v>15</v>
      </c>
      <c r="C213" s="5">
        <f>IF(B213&lt;&gt;"",VLOOKUP(B213,Projetos!E:F,2,0),"")</f>
        <v>10</v>
      </c>
      <c r="D213" s="5"/>
      <c r="E213" s="4" t="s">
        <v>25</v>
      </c>
      <c r="F213" s="69" t="s">
        <v>25</v>
      </c>
      <c r="G213" s="5" t="s">
        <v>18</v>
      </c>
      <c r="H213" s="10">
        <v>45343</v>
      </c>
      <c r="I213" s="25">
        <v>8.3333333333333329E-2</v>
      </c>
      <c r="J213" s="5" t="s">
        <v>14</v>
      </c>
      <c r="K213" s="22"/>
    </row>
    <row r="214" spans="2:11">
      <c r="B214" s="4" t="s">
        <v>15</v>
      </c>
      <c r="C214" s="5">
        <f>IF(B214&lt;&gt;"",VLOOKUP(B214,Projetos!E:F,2,0),"")</f>
        <v>10</v>
      </c>
      <c r="D214" s="5"/>
      <c r="E214" s="4" t="s">
        <v>23</v>
      </c>
      <c r="F214" s="69" t="s">
        <v>24</v>
      </c>
      <c r="G214" s="5" t="s">
        <v>19</v>
      </c>
      <c r="H214" s="10">
        <v>45343</v>
      </c>
      <c r="I214" s="25">
        <v>0.33333333333333331</v>
      </c>
      <c r="J214" s="5" t="s">
        <v>14</v>
      </c>
      <c r="K214" s="22"/>
    </row>
    <row r="215" spans="2:11">
      <c r="B215" s="4" t="s">
        <v>30</v>
      </c>
      <c r="C215" s="5">
        <f>IF(B215&lt;&gt;"",VLOOKUP(B215,Projetos!E:F,2,0),"")</f>
        <v>13</v>
      </c>
      <c r="D215" s="5"/>
      <c r="E215" s="4" t="s">
        <v>23</v>
      </c>
      <c r="F215" s="69" t="s">
        <v>55</v>
      </c>
      <c r="G215" s="5" t="s">
        <v>13</v>
      </c>
      <c r="H215" s="10">
        <v>45343</v>
      </c>
      <c r="I215" s="25">
        <v>0.25</v>
      </c>
      <c r="J215" s="5" t="s">
        <v>14</v>
      </c>
      <c r="K215" s="22"/>
    </row>
    <row r="216" spans="2:11">
      <c r="B216" s="4" t="s">
        <v>10</v>
      </c>
      <c r="C216" s="5">
        <f>IF(B216&lt;&gt;"",VLOOKUP(B216,Projetos!E:F,2,0),"")</f>
        <v>2</v>
      </c>
      <c r="D216" s="5"/>
      <c r="E216" s="4" t="s">
        <v>26</v>
      </c>
      <c r="F216" s="69" t="s">
        <v>27</v>
      </c>
      <c r="G216" s="5" t="s">
        <v>28</v>
      </c>
      <c r="H216" s="10">
        <v>45344</v>
      </c>
      <c r="I216" s="21">
        <v>0.25</v>
      </c>
      <c r="J216" s="5" t="s">
        <v>14</v>
      </c>
      <c r="K216" s="22"/>
    </row>
    <row r="217" spans="2:11">
      <c r="B217" s="4" t="s">
        <v>10</v>
      </c>
      <c r="C217" s="5">
        <f>IF(B217&lt;&gt;"",VLOOKUP(B217,Projetos!E:F,2,0),"")</f>
        <v>2</v>
      </c>
      <c r="D217" s="5"/>
      <c r="E217" s="4" t="s">
        <v>31</v>
      </c>
      <c r="F217" s="69" t="s">
        <v>39</v>
      </c>
      <c r="G217" s="5" t="s">
        <v>34</v>
      </c>
      <c r="H217" s="10">
        <v>45344</v>
      </c>
      <c r="I217" s="21">
        <v>0.16666666666666666</v>
      </c>
      <c r="J217" s="5" t="s">
        <v>14</v>
      </c>
      <c r="K217" s="22"/>
    </row>
    <row r="218" spans="2:11">
      <c r="B218" s="4" t="s">
        <v>10</v>
      </c>
      <c r="C218" s="5">
        <f>IF(B218&lt;&gt;"",VLOOKUP(B218,Projetos!E:F,2,0),"")</f>
        <v>2</v>
      </c>
      <c r="D218" s="5"/>
      <c r="E218" s="4" t="s">
        <v>40</v>
      </c>
      <c r="F218" s="69" t="s">
        <v>41</v>
      </c>
      <c r="G218" s="5" t="s">
        <v>42</v>
      </c>
      <c r="H218" s="10">
        <v>45344</v>
      </c>
      <c r="I218" s="21">
        <v>0.33333333333333331</v>
      </c>
      <c r="J218" s="5" t="s">
        <v>14</v>
      </c>
      <c r="K218" s="22"/>
    </row>
    <row r="219" spans="2:11">
      <c r="B219" s="4" t="s">
        <v>63</v>
      </c>
      <c r="C219" s="5">
        <f>IF(B219&lt;&gt;"",VLOOKUP(B219,Projetos!E:F,2,0),"")</f>
        <v>4</v>
      </c>
      <c r="D219" s="5"/>
      <c r="E219" s="4" t="s">
        <v>26</v>
      </c>
      <c r="F219" s="69" t="s">
        <v>46</v>
      </c>
      <c r="G219" s="5" t="s">
        <v>34</v>
      </c>
      <c r="H219" s="10">
        <v>45344</v>
      </c>
      <c r="I219" s="21">
        <v>8.3333333333333329E-2</v>
      </c>
      <c r="J219" s="5" t="s">
        <v>14</v>
      </c>
      <c r="K219" s="22"/>
    </row>
    <row r="220" spans="2:11">
      <c r="B220" s="4" t="s">
        <v>15</v>
      </c>
      <c r="C220" s="5">
        <f>IF(B220&lt;&gt;"",VLOOKUP(B220,Projetos!E:F,2,0),"")</f>
        <v>10</v>
      </c>
      <c r="D220" s="5"/>
      <c r="E220" s="4" t="s">
        <v>25</v>
      </c>
      <c r="F220" s="69" t="s">
        <v>25</v>
      </c>
      <c r="G220" s="5" t="s">
        <v>18</v>
      </c>
      <c r="H220" s="10">
        <v>45344</v>
      </c>
      <c r="I220" s="25">
        <v>8.3333333333333329E-2</v>
      </c>
      <c r="J220" s="5" t="s">
        <v>14</v>
      </c>
      <c r="K220" s="22"/>
    </row>
    <row r="221" spans="2:11">
      <c r="B221" s="4" t="s">
        <v>15</v>
      </c>
      <c r="C221" s="5">
        <f>IF(B221&lt;&gt;"",VLOOKUP(B221,Projetos!E:F,2,0),"")</f>
        <v>10</v>
      </c>
      <c r="D221" s="5"/>
      <c r="E221" s="4" t="s">
        <v>23</v>
      </c>
      <c r="F221" s="69" t="s">
        <v>24</v>
      </c>
      <c r="G221" s="5" t="s">
        <v>19</v>
      </c>
      <c r="H221" s="10">
        <v>45344</v>
      </c>
      <c r="I221" s="25">
        <v>0.33333333333333331</v>
      </c>
      <c r="J221" s="5" t="s">
        <v>14</v>
      </c>
      <c r="K221" s="22"/>
    </row>
    <row r="222" spans="2:11">
      <c r="B222" s="4" t="s">
        <v>30</v>
      </c>
      <c r="C222" s="5">
        <f>IF(B222&lt;&gt;"",VLOOKUP(B222,Projetos!E:F,2,0),"")</f>
        <v>13</v>
      </c>
      <c r="D222" s="5"/>
      <c r="E222" s="4" t="s">
        <v>23</v>
      </c>
      <c r="F222" s="69" t="s">
        <v>55</v>
      </c>
      <c r="G222" s="5" t="s">
        <v>13</v>
      </c>
      <c r="H222" s="10">
        <v>45344</v>
      </c>
      <c r="I222" s="25">
        <v>0.25</v>
      </c>
      <c r="J222" s="5" t="s">
        <v>14</v>
      </c>
      <c r="K222" s="22"/>
    </row>
    <row r="223" spans="2:11">
      <c r="B223" s="4" t="s">
        <v>10</v>
      </c>
      <c r="C223" s="5">
        <f>IF(B223&lt;&gt;"",VLOOKUP(B223,Projetos!E:F,2,0),"")</f>
        <v>2</v>
      </c>
      <c r="D223" s="5"/>
      <c r="E223" s="4" t="s">
        <v>26</v>
      </c>
      <c r="F223" s="69" t="s">
        <v>27</v>
      </c>
      <c r="G223" s="5" t="s">
        <v>28</v>
      </c>
      <c r="H223" s="10">
        <v>45345</v>
      </c>
      <c r="I223" s="21">
        <v>8.3333333333333329E-2</v>
      </c>
      <c r="J223" s="5" t="s">
        <v>14</v>
      </c>
      <c r="K223" s="22"/>
    </row>
    <row r="224" spans="2:11">
      <c r="B224" s="4" t="s">
        <v>10</v>
      </c>
      <c r="C224" s="5">
        <f>IF(B224&lt;&gt;"",VLOOKUP(B224,Projetos!E:F,2,0),"")</f>
        <v>2</v>
      </c>
      <c r="D224" s="5"/>
      <c r="E224" s="4" t="s">
        <v>31</v>
      </c>
      <c r="F224" s="69" t="s">
        <v>39</v>
      </c>
      <c r="G224" s="5" t="s">
        <v>34</v>
      </c>
      <c r="H224" s="10">
        <v>45345</v>
      </c>
      <c r="I224" s="21">
        <v>0.16666666666666666</v>
      </c>
      <c r="J224" s="5" t="s">
        <v>14</v>
      </c>
      <c r="K224" s="22"/>
    </row>
    <row r="225" spans="2:11">
      <c r="B225" s="4" t="s">
        <v>10</v>
      </c>
      <c r="C225" s="5">
        <f>IF(B225&lt;&gt;"",VLOOKUP(B225,Projetos!E:F,2,0),"")</f>
        <v>2</v>
      </c>
      <c r="D225" s="5"/>
      <c r="E225" s="4" t="s">
        <v>40</v>
      </c>
      <c r="F225" s="69" t="s">
        <v>41</v>
      </c>
      <c r="G225" s="5" t="s">
        <v>42</v>
      </c>
      <c r="H225" s="10">
        <v>45345</v>
      </c>
      <c r="I225" s="21">
        <v>0.33333333333333331</v>
      </c>
      <c r="J225" s="5" t="s">
        <v>14</v>
      </c>
      <c r="K225" s="22"/>
    </row>
    <row r="226" spans="2:11">
      <c r="B226" s="4" t="s">
        <v>63</v>
      </c>
      <c r="C226" s="5">
        <f>IF(B226&lt;&gt;"",VLOOKUP(B226,Projetos!E:F,2,0),"")</f>
        <v>4</v>
      </c>
      <c r="D226" s="5"/>
      <c r="E226" s="4" t="s">
        <v>31</v>
      </c>
      <c r="F226" s="69" t="s">
        <v>51</v>
      </c>
      <c r="G226" s="5" t="s">
        <v>34</v>
      </c>
      <c r="H226" s="10">
        <v>45345</v>
      </c>
      <c r="I226" s="21">
        <v>0.125</v>
      </c>
      <c r="J226" s="5" t="s">
        <v>14</v>
      </c>
      <c r="K226" s="22"/>
    </row>
    <row r="227" spans="2:11">
      <c r="B227" s="4" t="s">
        <v>63</v>
      </c>
      <c r="C227" s="5">
        <f>IF(B227&lt;&gt;"",VLOOKUP(B227,Projetos!E:F,2,0),"")</f>
        <v>4</v>
      </c>
      <c r="D227" s="5"/>
      <c r="E227" s="4" t="s">
        <v>25</v>
      </c>
      <c r="F227" s="69" t="s">
        <v>52</v>
      </c>
      <c r="G227" s="5" t="s">
        <v>20</v>
      </c>
      <c r="H227" s="10">
        <v>45345</v>
      </c>
      <c r="I227" s="21">
        <v>8.3333333333333329E-2</v>
      </c>
      <c r="J227" s="5" t="s">
        <v>14</v>
      </c>
      <c r="K227" s="22"/>
    </row>
    <row r="228" spans="2:11">
      <c r="B228" s="4" t="s">
        <v>15</v>
      </c>
      <c r="C228" s="5">
        <f>IF(B228&lt;&gt;"",VLOOKUP(B228,Projetos!E:F,2,0),"")</f>
        <v>10</v>
      </c>
      <c r="D228" s="5"/>
      <c r="E228" s="4" t="s">
        <v>25</v>
      </c>
      <c r="F228" s="69" t="s">
        <v>25</v>
      </c>
      <c r="G228" s="5" t="s">
        <v>18</v>
      </c>
      <c r="H228" s="10">
        <v>45345</v>
      </c>
      <c r="I228" s="25">
        <v>8.3333333333333329E-2</v>
      </c>
      <c r="J228" s="5" t="s">
        <v>14</v>
      </c>
      <c r="K228" s="22"/>
    </row>
    <row r="229" spans="2:11">
      <c r="B229" s="4" t="s">
        <v>15</v>
      </c>
      <c r="C229" s="5">
        <f>IF(B229&lt;&gt;"",VLOOKUP(B229,Projetos!E:F,2,0),"")</f>
        <v>10</v>
      </c>
      <c r="D229" s="5"/>
      <c r="E229" s="4" t="s">
        <v>23</v>
      </c>
      <c r="F229" s="69" t="s">
        <v>24</v>
      </c>
      <c r="G229" s="5" t="s">
        <v>19</v>
      </c>
      <c r="H229" s="10">
        <v>45345</v>
      </c>
      <c r="I229" s="25">
        <v>0.33333333333333331</v>
      </c>
      <c r="J229" s="5" t="s">
        <v>14</v>
      </c>
      <c r="K229" s="22"/>
    </row>
    <row r="230" spans="2:11">
      <c r="B230" s="4" t="s">
        <v>30</v>
      </c>
      <c r="C230" s="5">
        <f>IF(B230&lt;&gt;"",VLOOKUP(B230,Projetos!E:F,2,0),"")</f>
        <v>13</v>
      </c>
      <c r="D230" s="5"/>
      <c r="E230" s="4" t="s">
        <v>23</v>
      </c>
      <c r="F230" s="69" t="s">
        <v>55</v>
      </c>
      <c r="G230" s="5" t="s">
        <v>13</v>
      </c>
      <c r="H230" s="10">
        <v>45345</v>
      </c>
      <c r="I230" s="25">
        <v>0.25</v>
      </c>
      <c r="J230" s="5" t="s">
        <v>14</v>
      </c>
      <c r="K230" s="22"/>
    </row>
    <row r="231" spans="2:11">
      <c r="B231" s="4" t="s">
        <v>10</v>
      </c>
      <c r="C231" s="5">
        <f>IF(B231&lt;&gt;"",VLOOKUP(B231,Projetos!E:F,2,0),"")</f>
        <v>2</v>
      </c>
      <c r="D231" s="5"/>
      <c r="E231" s="4" t="s">
        <v>31</v>
      </c>
      <c r="F231" s="69" t="s">
        <v>39</v>
      </c>
      <c r="G231" s="5" t="s">
        <v>34</v>
      </c>
      <c r="H231" s="10">
        <v>45348</v>
      </c>
      <c r="I231" s="21">
        <v>0.16666666666666666</v>
      </c>
      <c r="J231" s="5" t="s">
        <v>14</v>
      </c>
      <c r="K231" s="22"/>
    </row>
    <row r="232" spans="2:11">
      <c r="B232" s="4" t="s">
        <v>10</v>
      </c>
      <c r="C232" s="5">
        <f>IF(B232&lt;&gt;"",VLOOKUP(B232,Projetos!E:F,2,0),"")</f>
        <v>2</v>
      </c>
      <c r="D232" s="5"/>
      <c r="E232" s="4" t="s">
        <v>40</v>
      </c>
      <c r="F232" s="69" t="s">
        <v>41</v>
      </c>
      <c r="G232" s="5" t="s">
        <v>42</v>
      </c>
      <c r="H232" s="10">
        <v>45348</v>
      </c>
      <c r="I232" s="21">
        <v>0.33333333333333331</v>
      </c>
      <c r="J232" s="5" t="s">
        <v>14</v>
      </c>
      <c r="K232" s="22"/>
    </row>
    <row r="233" spans="2:11">
      <c r="B233" s="4" t="s">
        <v>15</v>
      </c>
      <c r="C233" s="5">
        <f>IF(B233&lt;&gt;"",VLOOKUP(B233,Projetos!E:F,2,0),"")</f>
        <v>10</v>
      </c>
      <c r="D233" s="5"/>
      <c r="E233" s="4" t="s">
        <v>25</v>
      </c>
      <c r="F233" s="69" t="s">
        <v>25</v>
      </c>
      <c r="G233" s="5" t="s">
        <v>18</v>
      </c>
      <c r="H233" s="10">
        <v>45348</v>
      </c>
      <c r="I233" s="25">
        <v>8.3333333333333329E-2</v>
      </c>
      <c r="J233" s="5" t="s">
        <v>14</v>
      </c>
      <c r="K233" s="22"/>
    </row>
    <row r="234" spans="2:11">
      <c r="B234" s="4" t="s">
        <v>15</v>
      </c>
      <c r="C234" s="5">
        <f>IF(B234&lt;&gt;"",VLOOKUP(B234,Projetos!E:F,2,0),"")</f>
        <v>10</v>
      </c>
      <c r="D234" s="5"/>
      <c r="E234" s="4" t="s">
        <v>23</v>
      </c>
      <c r="F234" s="69" t="s">
        <v>24</v>
      </c>
      <c r="G234" s="5" t="s">
        <v>19</v>
      </c>
      <c r="H234" s="10">
        <v>45348</v>
      </c>
      <c r="I234" s="25">
        <v>0.33333333333333331</v>
      </c>
      <c r="J234" s="5" t="s">
        <v>14</v>
      </c>
      <c r="K234" s="22"/>
    </row>
    <row r="235" spans="2:11">
      <c r="B235" s="4" t="s">
        <v>15</v>
      </c>
      <c r="C235" s="5">
        <f>IF(B235&lt;&gt;"",VLOOKUP(B235,Projetos!E:F,2,0),"")</f>
        <v>10</v>
      </c>
      <c r="D235" s="5"/>
      <c r="E235" s="4" t="s">
        <v>25</v>
      </c>
      <c r="F235" s="69" t="s">
        <v>25</v>
      </c>
      <c r="G235" s="5" t="s">
        <v>18</v>
      </c>
      <c r="H235" s="10">
        <v>45348</v>
      </c>
      <c r="I235" s="25">
        <v>8.3333333333333329E-2</v>
      </c>
      <c r="J235" s="5" t="s">
        <v>14</v>
      </c>
      <c r="K235" s="22"/>
    </row>
    <row r="236" spans="2:11">
      <c r="B236" s="4" t="s">
        <v>30</v>
      </c>
      <c r="C236" s="5">
        <f>IF(B236&lt;&gt;"",VLOOKUP(B236,Projetos!E:F,2,0),"")</f>
        <v>13</v>
      </c>
      <c r="D236" s="5"/>
      <c r="E236" s="4" t="s">
        <v>23</v>
      </c>
      <c r="F236" s="69" t="s">
        <v>55</v>
      </c>
      <c r="G236" s="5" t="s">
        <v>13</v>
      </c>
      <c r="H236" s="10">
        <v>45348</v>
      </c>
      <c r="I236" s="25">
        <v>0.25</v>
      </c>
      <c r="J236" s="5" t="s">
        <v>14</v>
      </c>
      <c r="K236" s="22"/>
    </row>
    <row r="237" spans="2:11">
      <c r="B237" s="4" t="s">
        <v>61</v>
      </c>
      <c r="C237" s="5">
        <f>IF(B237&lt;&gt;"",VLOOKUP(B237,Projetos!E:F,2,0),"")</f>
        <v>11</v>
      </c>
      <c r="D237" s="5"/>
      <c r="E237" s="4" t="s">
        <v>21</v>
      </c>
      <c r="F237" s="69" t="s">
        <v>21</v>
      </c>
      <c r="G237" s="5" t="s">
        <v>64</v>
      </c>
      <c r="H237" s="10">
        <v>45348</v>
      </c>
      <c r="I237" s="25">
        <v>0.16666666666666666</v>
      </c>
      <c r="J237" s="5" t="s">
        <v>14</v>
      </c>
      <c r="K237" s="22"/>
    </row>
    <row r="238" spans="2:11">
      <c r="B238" s="4" t="s">
        <v>61</v>
      </c>
      <c r="C238" s="5">
        <f>IF(B238&lt;&gt;"",VLOOKUP(B238,Projetos!E:F,2,0),"")</f>
        <v>11</v>
      </c>
      <c r="D238" s="5"/>
      <c r="E238" s="4" t="s">
        <v>65</v>
      </c>
      <c r="F238" s="69" t="s">
        <v>65</v>
      </c>
      <c r="G238" s="5" t="s">
        <v>64</v>
      </c>
      <c r="H238" s="10">
        <v>45348</v>
      </c>
      <c r="I238" s="25">
        <v>0.16666666666666666</v>
      </c>
      <c r="J238" s="5" t="s">
        <v>14</v>
      </c>
      <c r="K238" s="22"/>
    </row>
    <row r="239" spans="2:11">
      <c r="B239" s="4" t="s">
        <v>61</v>
      </c>
      <c r="C239" s="5">
        <f>IF(B239&lt;&gt;"",VLOOKUP(B239,Projetos!E:F,2,0),"")</f>
        <v>11</v>
      </c>
      <c r="D239" s="5"/>
      <c r="E239" s="4" t="s">
        <v>65</v>
      </c>
      <c r="F239" s="69" t="s">
        <v>65</v>
      </c>
      <c r="G239" s="5" t="s">
        <v>66</v>
      </c>
      <c r="H239" s="10">
        <v>45348</v>
      </c>
      <c r="I239" s="25">
        <v>0.25</v>
      </c>
      <c r="J239" s="5" t="s">
        <v>14</v>
      </c>
      <c r="K239" s="22"/>
    </row>
    <row r="240" spans="2:11">
      <c r="B240" s="4" t="s">
        <v>61</v>
      </c>
      <c r="C240" s="5">
        <f>IF(B240&lt;&gt;"",VLOOKUP(B240,Projetos!E:F,2,0),"")</f>
        <v>11</v>
      </c>
      <c r="D240" s="5"/>
      <c r="E240" s="4" t="s">
        <v>26</v>
      </c>
      <c r="F240" s="69" t="s">
        <v>67</v>
      </c>
      <c r="G240" s="5" t="s">
        <v>28</v>
      </c>
      <c r="H240" s="10">
        <v>45348</v>
      </c>
      <c r="I240" s="25">
        <v>0.25</v>
      </c>
      <c r="J240" s="5" t="s">
        <v>14</v>
      </c>
      <c r="K240" s="22"/>
    </row>
    <row r="241" spans="2:11">
      <c r="B241" s="4" t="s">
        <v>61</v>
      </c>
      <c r="C241" s="5">
        <f>IF(B241&lt;&gt;"",VLOOKUP(B241,Projetos!E:F,2,0),"")</f>
        <v>11</v>
      </c>
      <c r="D241" s="5"/>
      <c r="E241" s="4" t="s">
        <v>26</v>
      </c>
      <c r="F241" s="69" t="s">
        <v>67</v>
      </c>
      <c r="G241" s="5" t="s">
        <v>28</v>
      </c>
      <c r="H241" s="10">
        <v>45348</v>
      </c>
      <c r="I241" s="25">
        <v>0.25</v>
      </c>
      <c r="J241" s="5" t="s">
        <v>14</v>
      </c>
      <c r="K241" s="22"/>
    </row>
    <row r="242" spans="2:11">
      <c r="B242" s="4" t="s">
        <v>61</v>
      </c>
      <c r="C242" s="5">
        <f>IF(B242&lt;&gt;"",VLOOKUP(B242,Projetos!E:F,2,0),"")</f>
        <v>11</v>
      </c>
      <c r="D242" s="5"/>
      <c r="E242" s="4" t="s">
        <v>26</v>
      </c>
      <c r="F242" s="69" t="s">
        <v>67</v>
      </c>
      <c r="G242" s="5" t="s">
        <v>28</v>
      </c>
      <c r="H242" s="10">
        <v>45348</v>
      </c>
      <c r="I242" s="25">
        <v>0.25</v>
      </c>
      <c r="J242" s="5" t="s">
        <v>14</v>
      </c>
      <c r="K242" s="22"/>
    </row>
    <row r="243" spans="2:11">
      <c r="B243" s="4" t="s">
        <v>10</v>
      </c>
      <c r="C243" s="5">
        <f>IF(B243&lt;&gt;"",VLOOKUP(B243,Projetos!E:F,2,0),"")</f>
        <v>2</v>
      </c>
      <c r="D243" s="5"/>
      <c r="E243" s="4" t="s">
        <v>31</v>
      </c>
      <c r="F243" s="69" t="s">
        <v>39</v>
      </c>
      <c r="G243" s="5" t="s">
        <v>34</v>
      </c>
      <c r="H243" s="10">
        <v>45349</v>
      </c>
      <c r="I243" s="21">
        <v>0.16666666666666666</v>
      </c>
      <c r="J243" s="5" t="s">
        <v>14</v>
      </c>
      <c r="K243" s="22"/>
    </row>
    <row r="244" spans="2:11">
      <c r="B244" s="4" t="s">
        <v>10</v>
      </c>
      <c r="C244" s="5">
        <f>IF(B244&lt;&gt;"",VLOOKUP(B244,Projetos!E:F,2,0),"")</f>
        <v>2</v>
      </c>
      <c r="D244" s="5"/>
      <c r="E244" s="4" t="s">
        <v>40</v>
      </c>
      <c r="F244" s="69" t="s">
        <v>41</v>
      </c>
      <c r="G244" s="5" t="s">
        <v>42</v>
      </c>
      <c r="H244" s="10">
        <v>45349</v>
      </c>
      <c r="I244" s="21">
        <v>0.33333333333333331</v>
      </c>
      <c r="J244" s="5" t="s">
        <v>14</v>
      </c>
      <c r="K244" s="22"/>
    </row>
    <row r="245" spans="2:11">
      <c r="B245" s="4" t="s">
        <v>15</v>
      </c>
      <c r="C245" s="5">
        <f>IF(B245&lt;&gt;"",VLOOKUP(B245,Projetos!E:F,2,0),"")</f>
        <v>10</v>
      </c>
      <c r="D245" s="5"/>
      <c r="E245" s="4" t="s">
        <v>23</v>
      </c>
      <c r="F245" s="69" t="s">
        <v>24</v>
      </c>
      <c r="G245" s="5" t="s">
        <v>19</v>
      </c>
      <c r="H245" s="10">
        <v>45349</v>
      </c>
      <c r="I245" s="25">
        <v>0.33333333333333331</v>
      </c>
      <c r="J245" s="5" t="s">
        <v>14</v>
      </c>
      <c r="K245" s="22"/>
    </row>
    <row r="246" spans="2:11">
      <c r="B246" s="4" t="s">
        <v>15</v>
      </c>
      <c r="C246" s="5">
        <f>IF(B246&lt;&gt;"",VLOOKUP(B246,Projetos!E:F,2,0),"")</f>
        <v>10</v>
      </c>
      <c r="D246" s="5"/>
      <c r="E246" s="4" t="s">
        <v>25</v>
      </c>
      <c r="F246" s="69" t="s">
        <v>25</v>
      </c>
      <c r="G246" s="5" t="s">
        <v>18</v>
      </c>
      <c r="H246" s="10">
        <v>45349</v>
      </c>
      <c r="I246" s="25">
        <v>8.3333333333333329E-2</v>
      </c>
      <c r="J246" s="5" t="s">
        <v>14</v>
      </c>
      <c r="K246" s="22"/>
    </row>
    <row r="247" spans="2:11">
      <c r="B247" s="4" t="s">
        <v>30</v>
      </c>
      <c r="C247" s="5">
        <f>IF(B247&lt;&gt;"",VLOOKUP(B247,Projetos!E:F,2,0),"")</f>
        <v>13</v>
      </c>
      <c r="D247" s="5"/>
      <c r="E247" s="4" t="s">
        <v>23</v>
      </c>
      <c r="F247" s="69" t="s">
        <v>55</v>
      </c>
      <c r="G247" s="5" t="s">
        <v>13</v>
      </c>
      <c r="H247" s="10">
        <v>45349</v>
      </c>
      <c r="I247" s="25">
        <v>0.25</v>
      </c>
      <c r="J247" s="5" t="s">
        <v>14</v>
      </c>
      <c r="K247" s="22"/>
    </row>
    <row r="248" spans="2:11">
      <c r="B248" s="4" t="s">
        <v>61</v>
      </c>
      <c r="C248" s="5">
        <f>IF(B248&lt;&gt;"",VLOOKUP(B248,Projetos!E:F,2,0),"")</f>
        <v>11</v>
      </c>
      <c r="D248" s="5"/>
      <c r="E248" s="4" t="s">
        <v>21</v>
      </c>
      <c r="F248" s="69" t="s">
        <v>21</v>
      </c>
      <c r="G248" s="5" t="s">
        <v>64</v>
      </c>
      <c r="H248" s="10">
        <v>45349</v>
      </c>
      <c r="I248" s="25">
        <v>0.16666666666666666</v>
      </c>
      <c r="J248" s="5" t="s">
        <v>14</v>
      </c>
      <c r="K248" s="22"/>
    </row>
    <row r="249" spans="2:11">
      <c r="B249" s="4" t="s">
        <v>61</v>
      </c>
      <c r="C249" s="5">
        <f>IF(B249&lt;&gt;"",VLOOKUP(B249,Projetos!E:F,2,0),"")</f>
        <v>11</v>
      </c>
      <c r="D249" s="5"/>
      <c r="E249" s="4" t="s">
        <v>65</v>
      </c>
      <c r="F249" s="69" t="s">
        <v>65</v>
      </c>
      <c r="G249" s="5" t="s">
        <v>64</v>
      </c>
      <c r="H249" s="10">
        <v>45349</v>
      </c>
      <c r="I249" s="25">
        <v>0.16666666666666666</v>
      </c>
      <c r="J249" s="5" t="s">
        <v>14</v>
      </c>
      <c r="K249" s="22"/>
    </row>
    <row r="250" spans="2:11">
      <c r="B250" s="4" t="s">
        <v>61</v>
      </c>
      <c r="C250" s="5">
        <f>IF(B250&lt;&gt;"",VLOOKUP(B250,Projetos!E:F,2,0),"")</f>
        <v>11</v>
      </c>
      <c r="D250" s="5"/>
      <c r="E250" s="4" t="s">
        <v>65</v>
      </c>
      <c r="F250" s="69" t="s">
        <v>65</v>
      </c>
      <c r="G250" s="5" t="s">
        <v>66</v>
      </c>
      <c r="H250" s="10">
        <v>45349</v>
      </c>
      <c r="I250" s="25">
        <v>0.25</v>
      </c>
      <c r="J250" s="5" t="s">
        <v>14</v>
      </c>
      <c r="K250" s="22"/>
    </row>
    <row r="251" spans="2:11">
      <c r="B251" s="4" t="s">
        <v>61</v>
      </c>
      <c r="C251" s="5">
        <f>IF(B251&lt;&gt;"",VLOOKUP(B251,Projetos!E:F,2,0),"")</f>
        <v>11</v>
      </c>
      <c r="D251" s="5"/>
      <c r="E251" s="4" t="s">
        <v>26</v>
      </c>
      <c r="F251" s="69" t="s">
        <v>67</v>
      </c>
      <c r="G251" s="5" t="s">
        <v>28</v>
      </c>
      <c r="H251" s="10">
        <v>45349</v>
      </c>
      <c r="I251" s="25">
        <v>0.25</v>
      </c>
      <c r="J251" s="5" t="s">
        <v>14</v>
      </c>
      <c r="K251" s="22"/>
    </row>
    <row r="252" spans="2:11">
      <c r="B252" s="4" t="s">
        <v>61</v>
      </c>
      <c r="C252" s="5">
        <f>IF(B252&lt;&gt;"",VLOOKUP(B252,Projetos!E:F,2,0),"")</f>
        <v>11</v>
      </c>
      <c r="D252" s="5"/>
      <c r="E252" s="4" t="s">
        <v>26</v>
      </c>
      <c r="F252" s="69" t="s">
        <v>67</v>
      </c>
      <c r="G252" s="5" t="s">
        <v>28</v>
      </c>
      <c r="H252" s="10">
        <v>45349</v>
      </c>
      <c r="I252" s="25">
        <v>0.25</v>
      </c>
      <c r="J252" s="5" t="s">
        <v>14</v>
      </c>
      <c r="K252" s="22"/>
    </row>
    <row r="253" spans="2:11">
      <c r="B253" s="4" t="s">
        <v>10</v>
      </c>
      <c r="C253" s="5">
        <f>IF(B253&lt;&gt;"",VLOOKUP(B253,Projetos!E:F,2,0),"")</f>
        <v>2</v>
      </c>
      <c r="D253" s="3"/>
      <c r="E253" t="s">
        <v>31</v>
      </c>
      <c r="F253" s="72" t="s">
        <v>39</v>
      </c>
      <c r="G253" s="5" t="s">
        <v>34</v>
      </c>
      <c r="H253" s="10">
        <v>45350</v>
      </c>
      <c r="I253" s="21">
        <v>0.16666666666666666</v>
      </c>
      <c r="J253" s="5" t="s">
        <v>14</v>
      </c>
      <c r="K253" s="22"/>
    </row>
    <row r="254" spans="2:11">
      <c r="B254" s="4" t="s">
        <v>10</v>
      </c>
      <c r="C254" s="5">
        <f>IF(B254&lt;&gt;"",VLOOKUP(B254,Projetos!E:F,2,0),"")</f>
        <v>2</v>
      </c>
      <c r="D254" s="5"/>
      <c r="E254" s="4" t="s">
        <v>40</v>
      </c>
      <c r="F254" s="69" t="s">
        <v>41</v>
      </c>
      <c r="G254" s="5" t="s">
        <v>42</v>
      </c>
      <c r="H254" s="10">
        <v>45350</v>
      </c>
      <c r="I254" s="21">
        <v>0.33333333333333331</v>
      </c>
      <c r="J254" s="5" t="s">
        <v>14</v>
      </c>
      <c r="K254" s="22"/>
    </row>
    <row r="255" spans="2:11">
      <c r="B255" s="4" t="s">
        <v>15</v>
      </c>
      <c r="C255" s="5">
        <f>IF(B255&lt;&gt;"",VLOOKUP(B255,Projetos!E:F,2,0),"")</f>
        <v>10</v>
      </c>
      <c r="D255" s="3"/>
      <c r="E255" t="s">
        <v>23</v>
      </c>
      <c r="F255" s="72" t="s">
        <v>24</v>
      </c>
      <c r="G255" s="5" t="s">
        <v>19</v>
      </c>
      <c r="H255" s="10">
        <v>45350</v>
      </c>
      <c r="I255" s="25">
        <v>0.33333333333333331</v>
      </c>
      <c r="J255" s="5" t="s">
        <v>14</v>
      </c>
      <c r="K255" s="22"/>
    </row>
    <row r="256" spans="2:11">
      <c r="B256" s="4" t="s">
        <v>15</v>
      </c>
      <c r="C256" s="5">
        <f>IF(B256&lt;&gt;"",VLOOKUP(B256,Projetos!E:F,2,0),"")</f>
        <v>10</v>
      </c>
      <c r="D256" s="5"/>
      <c r="E256" s="4" t="s">
        <v>25</v>
      </c>
      <c r="F256" s="69" t="s">
        <v>25</v>
      </c>
      <c r="G256" s="5" t="s">
        <v>18</v>
      </c>
      <c r="H256" s="10">
        <v>45350</v>
      </c>
      <c r="I256" s="25">
        <v>8.3333333333333329E-2</v>
      </c>
      <c r="J256" s="5" t="s">
        <v>14</v>
      </c>
      <c r="K256" s="22"/>
    </row>
    <row r="257" spans="2:11">
      <c r="B257" s="4" t="s">
        <v>30</v>
      </c>
      <c r="C257" s="5">
        <f>IF(B257&lt;&gt;"",VLOOKUP(B257,Projetos!E:F,2,0),"")</f>
        <v>13</v>
      </c>
      <c r="D257" s="3"/>
      <c r="E257" t="s">
        <v>23</v>
      </c>
      <c r="F257" s="72" t="s">
        <v>55</v>
      </c>
      <c r="G257" s="5" t="s">
        <v>13</v>
      </c>
      <c r="H257" s="10">
        <v>45350</v>
      </c>
      <c r="I257" s="25">
        <v>0.25</v>
      </c>
      <c r="J257" s="5" t="s">
        <v>14</v>
      </c>
      <c r="K257" s="22"/>
    </row>
    <row r="258" spans="2:11">
      <c r="B258" s="4" t="s">
        <v>61</v>
      </c>
      <c r="C258" s="5">
        <f>IF(B258&lt;&gt;"",VLOOKUP(B258,Projetos!E:F,2,0),"")</f>
        <v>11</v>
      </c>
      <c r="D258" s="5"/>
      <c r="E258" s="4" t="s">
        <v>21</v>
      </c>
      <c r="F258" s="69" t="s">
        <v>21</v>
      </c>
      <c r="G258" s="5" t="s">
        <v>64</v>
      </c>
      <c r="H258" s="10">
        <v>45350</v>
      </c>
      <c r="I258" s="25">
        <v>0.16666666666666666</v>
      </c>
      <c r="J258" s="5" t="s">
        <v>14</v>
      </c>
      <c r="K258" s="22"/>
    </row>
    <row r="259" spans="2:11">
      <c r="B259" s="4" t="s">
        <v>61</v>
      </c>
      <c r="C259" s="5">
        <f>IF(B259&lt;&gt;"",VLOOKUP(B259,Projetos!E:F,2,0),"")</f>
        <v>11</v>
      </c>
      <c r="D259" s="3"/>
      <c r="E259" t="s">
        <v>65</v>
      </c>
      <c r="F259" s="72" t="s">
        <v>65</v>
      </c>
      <c r="G259" s="5" t="s">
        <v>64</v>
      </c>
      <c r="H259" s="10">
        <v>45350</v>
      </c>
      <c r="I259" s="25">
        <v>0.16666666666666666</v>
      </c>
      <c r="J259" s="5" t="s">
        <v>14</v>
      </c>
      <c r="K259" s="22"/>
    </row>
    <row r="260" spans="2:11">
      <c r="B260" s="4" t="s">
        <v>61</v>
      </c>
      <c r="C260" s="5">
        <f>IF(B260&lt;&gt;"",VLOOKUP(B260,Projetos!E:F,2,0),"")</f>
        <v>11</v>
      </c>
      <c r="D260" s="5"/>
      <c r="E260" s="4" t="s">
        <v>65</v>
      </c>
      <c r="F260" s="69" t="s">
        <v>65</v>
      </c>
      <c r="G260" s="5" t="s">
        <v>66</v>
      </c>
      <c r="H260" s="10">
        <v>45350</v>
      </c>
      <c r="I260" s="25">
        <v>0.25</v>
      </c>
      <c r="J260" s="5" t="s">
        <v>14</v>
      </c>
      <c r="K260" s="22"/>
    </row>
    <row r="261" spans="2:11">
      <c r="B261" s="4" t="s">
        <v>10</v>
      </c>
      <c r="C261" s="5">
        <f>IF(B261&lt;&gt;"",VLOOKUP(B261,Projetos!E:F,2,0),"")</f>
        <v>2</v>
      </c>
      <c r="D261" s="3"/>
      <c r="E261" t="s">
        <v>31</v>
      </c>
      <c r="F261" s="72" t="s">
        <v>39</v>
      </c>
      <c r="G261" s="5" t="s">
        <v>34</v>
      </c>
      <c r="H261" s="10">
        <v>45351</v>
      </c>
      <c r="I261" s="21">
        <v>0.16666666666666666</v>
      </c>
      <c r="J261" s="5" t="s">
        <v>14</v>
      </c>
      <c r="K261" s="22"/>
    </row>
    <row r="262" spans="2:11">
      <c r="B262" s="4" t="s">
        <v>10</v>
      </c>
      <c r="C262" s="5">
        <f>IF(B262&lt;&gt;"",VLOOKUP(B262,Projetos!E:F,2,0),"")</f>
        <v>2</v>
      </c>
      <c r="D262" s="5"/>
      <c r="E262" s="4" t="s">
        <v>40</v>
      </c>
      <c r="F262" s="69" t="s">
        <v>41</v>
      </c>
      <c r="G262" s="5" t="s">
        <v>42</v>
      </c>
      <c r="H262" s="10">
        <v>45351</v>
      </c>
      <c r="I262" s="21">
        <v>0.33333333333333331</v>
      </c>
      <c r="J262" s="5" t="s">
        <v>14</v>
      </c>
      <c r="K262" s="22"/>
    </row>
    <row r="263" spans="2:11">
      <c r="B263" s="4" t="s">
        <v>15</v>
      </c>
      <c r="C263" s="5">
        <f>IF(B263&lt;&gt;"",VLOOKUP(B263,Projetos!E:F,2,0),"")</f>
        <v>10</v>
      </c>
      <c r="D263" s="5"/>
      <c r="E263" s="4" t="s">
        <v>23</v>
      </c>
      <c r="F263" s="69" t="s">
        <v>24</v>
      </c>
      <c r="G263" s="5" t="s">
        <v>19</v>
      </c>
      <c r="H263" s="10">
        <v>45351</v>
      </c>
      <c r="I263" s="25">
        <v>0.33333333333333331</v>
      </c>
      <c r="J263" s="5" t="s">
        <v>14</v>
      </c>
      <c r="K263" s="22"/>
    </row>
    <row r="264" spans="2:11">
      <c r="B264" s="4" t="s">
        <v>15</v>
      </c>
      <c r="C264" s="5">
        <f>IF(B264&lt;&gt;"",VLOOKUP(B264,Projetos!E:F,2,0),"")</f>
        <v>10</v>
      </c>
      <c r="D264" s="5"/>
      <c r="E264" s="4" t="s">
        <v>25</v>
      </c>
      <c r="F264" s="69" t="s">
        <v>25</v>
      </c>
      <c r="G264" s="5" t="s">
        <v>18</v>
      </c>
      <c r="H264" s="10">
        <v>45351</v>
      </c>
      <c r="I264" s="25">
        <v>8.3333333333333329E-2</v>
      </c>
      <c r="J264" s="5" t="s">
        <v>14</v>
      </c>
      <c r="K264" s="22"/>
    </row>
    <row r="265" spans="2:11">
      <c r="B265" s="4" t="s">
        <v>30</v>
      </c>
      <c r="C265" s="5">
        <f>IF(B265&lt;&gt;"",VLOOKUP(B265,Projetos!E:F,2,0),"")</f>
        <v>13</v>
      </c>
      <c r="D265" s="5"/>
      <c r="E265" s="4" t="s">
        <v>23</v>
      </c>
      <c r="F265" s="69" t="s">
        <v>55</v>
      </c>
      <c r="G265" s="5" t="s">
        <v>13</v>
      </c>
      <c r="H265" s="10">
        <v>45351</v>
      </c>
      <c r="I265" s="25">
        <v>0.25</v>
      </c>
      <c r="J265" s="5" t="s">
        <v>14</v>
      </c>
      <c r="K265" s="22"/>
    </row>
    <row r="266" spans="2:11">
      <c r="B266" s="4" t="s">
        <v>61</v>
      </c>
      <c r="C266" s="5">
        <f>IF(B266&lt;&gt;"",VLOOKUP(B266,Projetos!E:F,2,0),"")</f>
        <v>11</v>
      </c>
      <c r="D266" s="5"/>
      <c r="E266" s="4" t="s">
        <v>21</v>
      </c>
      <c r="F266" s="69" t="s">
        <v>21</v>
      </c>
      <c r="G266" s="5" t="s">
        <v>64</v>
      </c>
      <c r="H266" s="10">
        <v>45351</v>
      </c>
      <c r="I266" s="25">
        <v>0.16666666666666666</v>
      </c>
      <c r="J266" s="5" t="s">
        <v>14</v>
      </c>
      <c r="K266" s="22"/>
    </row>
    <row r="267" spans="2:11">
      <c r="B267" s="4" t="s">
        <v>61</v>
      </c>
      <c r="C267" s="5">
        <f>IF(B267&lt;&gt;"",VLOOKUP(B267,Projetos!E:F,2,0),"")</f>
        <v>11</v>
      </c>
      <c r="D267" s="5"/>
      <c r="E267" s="4" t="s">
        <v>65</v>
      </c>
      <c r="F267" s="69" t="s">
        <v>65</v>
      </c>
      <c r="G267" s="5" t="s">
        <v>64</v>
      </c>
      <c r="H267" s="10">
        <v>45351</v>
      </c>
      <c r="I267" s="25">
        <v>0.16666666666666666</v>
      </c>
      <c r="J267" s="5" t="s">
        <v>14</v>
      </c>
      <c r="K267" s="22"/>
    </row>
    <row r="268" spans="2:11">
      <c r="B268" s="4" t="s">
        <v>61</v>
      </c>
      <c r="C268" s="5">
        <f>IF(B268&lt;&gt;"",VLOOKUP(B268,Projetos!E:F,2,0),"")</f>
        <v>11</v>
      </c>
      <c r="D268" s="5"/>
      <c r="E268" s="4" t="s">
        <v>65</v>
      </c>
      <c r="F268" s="69" t="s">
        <v>65</v>
      </c>
      <c r="G268" s="5" t="s">
        <v>66</v>
      </c>
      <c r="H268" s="10">
        <v>45351</v>
      </c>
      <c r="I268" s="25">
        <v>0.25</v>
      </c>
      <c r="J268" s="5" t="s">
        <v>14</v>
      </c>
      <c r="K268" s="22"/>
    </row>
    <row r="269" spans="2:11">
      <c r="B269" s="4" t="s">
        <v>10</v>
      </c>
      <c r="C269" s="5">
        <f>IF(B269&lt;&gt;"",VLOOKUP(B269,Projetos!E:F,2,0),"")</f>
        <v>2</v>
      </c>
      <c r="D269" s="5"/>
      <c r="E269" s="4" t="s">
        <v>31</v>
      </c>
      <c r="F269" s="69" t="s">
        <v>39</v>
      </c>
      <c r="G269" s="5" t="s">
        <v>34</v>
      </c>
      <c r="H269" s="10">
        <v>45352</v>
      </c>
      <c r="I269" s="21">
        <v>0.16666666666666666</v>
      </c>
      <c r="J269" s="5" t="s">
        <v>14</v>
      </c>
      <c r="K269" s="22"/>
    </row>
    <row r="270" spans="2:11">
      <c r="B270" s="4" t="s">
        <v>10</v>
      </c>
      <c r="C270" s="5">
        <f>IF(B270&lt;&gt;"",VLOOKUP(B270,Projetos!E:F,2,0),"")</f>
        <v>2</v>
      </c>
      <c r="D270" s="5"/>
      <c r="E270" s="4" t="s">
        <v>40</v>
      </c>
      <c r="F270" s="69" t="s">
        <v>41</v>
      </c>
      <c r="G270" s="5" t="s">
        <v>42</v>
      </c>
      <c r="H270" s="10">
        <v>45352</v>
      </c>
      <c r="I270" s="21">
        <v>0.33333333333333331</v>
      </c>
      <c r="J270" s="5" t="s">
        <v>14</v>
      </c>
      <c r="K270" s="22"/>
    </row>
    <row r="271" spans="2:11">
      <c r="B271" s="4" t="s">
        <v>15</v>
      </c>
      <c r="C271" s="5">
        <f>IF(B271&lt;&gt;"",VLOOKUP(B271,Projetos!E:F,2,0),"")</f>
        <v>10</v>
      </c>
      <c r="D271" s="5"/>
      <c r="E271" s="4" t="s">
        <v>23</v>
      </c>
      <c r="F271" s="69" t="s">
        <v>24</v>
      </c>
      <c r="G271" s="5" t="s">
        <v>19</v>
      </c>
      <c r="H271" s="10">
        <v>45352</v>
      </c>
      <c r="I271" s="25">
        <v>0.33333333333333331</v>
      </c>
      <c r="J271" s="5" t="s">
        <v>14</v>
      </c>
      <c r="K271" s="22"/>
    </row>
    <row r="272" spans="2:11">
      <c r="B272" s="4" t="s">
        <v>15</v>
      </c>
      <c r="C272" s="5">
        <f>IF(B272&lt;&gt;"",VLOOKUP(B272,Projetos!E:F,2,0),"")</f>
        <v>10</v>
      </c>
      <c r="D272" s="5"/>
      <c r="E272" s="4" t="s">
        <v>25</v>
      </c>
      <c r="F272" s="69" t="s">
        <v>25</v>
      </c>
      <c r="G272" s="5" t="s">
        <v>18</v>
      </c>
      <c r="H272" s="10">
        <v>45352</v>
      </c>
      <c r="I272" s="25">
        <v>8.3333333333333329E-2</v>
      </c>
      <c r="J272" s="5" t="s">
        <v>14</v>
      </c>
      <c r="K272" s="22"/>
    </row>
    <row r="273" spans="2:11">
      <c r="B273" s="4" t="s">
        <v>30</v>
      </c>
      <c r="C273" s="5">
        <f>IF(B273&lt;&gt;"",VLOOKUP(B273,Projetos!E:F,2,0),"")</f>
        <v>13</v>
      </c>
      <c r="D273" s="5"/>
      <c r="E273" s="4" t="s">
        <v>23</v>
      </c>
      <c r="F273" s="69" t="s">
        <v>55</v>
      </c>
      <c r="G273" s="5" t="s">
        <v>13</v>
      </c>
      <c r="H273" s="10">
        <v>45352</v>
      </c>
      <c r="I273" s="25">
        <v>0.25</v>
      </c>
      <c r="J273" s="5" t="s">
        <v>14</v>
      </c>
      <c r="K273" s="22"/>
    </row>
    <row r="274" spans="2:11">
      <c r="B274" s="4" t="s">
        <v>61</v>
      </c>
      <c r="C274" s="5">
        <f>IF(B274&lt;&gt;"",VLOOKUP(B274,Projetos!E:F,2,0),"")</f>
        <v>11</v>
      </c>
      <c r="D274" s="5"/>
      <c r="E274" s="4" t="s">
        <v>21</v>
      </c>
      <c r="F274" s="69" t="s">
        <v>21</v>
      </c>
      <c r="G274" s="5" t="s">
        <v>64</v>
      </c>
      <c r="H274" s="10">
        <v>45352</v>
      </c>
      <c r="I274" s="25">
        <v>0.16666666666666666</v>
      </c>
      <c r="J274" s="5" t="s">
        <v>14</v>
      </c>
      <c r="K274" s="22"/>
    </row>
    <row r="275" spans="2:11">
      <c r="B275" s="4" t="s">
        <v>61</v>
      </c>
      <c r="C275" s="5">
        <f>IF(B275&lt;&gt;"",VLOOKUP(B275,Projetos!E:F,2,0),"")</f>
        <v>11</v>
      </c>
      <c r="D275" s="5"/>
      <c r="E275" s="4" t="s">
        <v>65</v>
      </c>
      <c r="F275" s="69" t="s">
        <v>65</v>
      </c>
      <c r="G275" s="5" t="s">
        <v>64</v>
      </c>
      <c r="H275" s="10">
        <v>45352</v>
      </c>
      <c r="I275" s="25">
        <v>0.16666666666666666</v>
      </c>
      <c r="J275" s="5" t="s">
        <v>14</v>
      </c>
      <c r="K275" s="22"/>
    </row>
    <row r="276" spans="2:11">
      <c r="B276" s="4" t="s">
        <v>61</v>
      </c>
      <c r="C276" s="5">
        <f>IF(B276&lt;&gt;"",VLOOKUP(B276,Projetos!E:F,2,0),"")</f>
        <v>11</v>
      </c>
      <c r="D276" s="5"/>
      <c r="E276" s="4" t="s">
        <v>65</v>
      </c>
      <c r="F276" s="69" t="s">
        <v>65</v>
      </c>
      <c r="G276" s="5" t="s">
        <v>66</v>
      </c>
      <c r="H276" s="10">
        <v>45352</v>
      </c>
      <c r="I276" s="25">
        <v>0.25</v>
      </c>
      <c r="J276" s="5" t="s">
        <v>14</v>
      </c>
      <c r="K276" s="22"/>
    </row>
    <row r="277" spans="2:11">
      <c r="B277" s="4" t="s">
        <v>10</v>
      </c>
      <c r="C277" s="5">
        <f>IF(B277&lt;&gt;"",VLOOKUP(B277,Projetos!E:F,2,0),"")</f>
        <v>2</v>
      </c>
      <c r="D277" s="5"/>
      <c r="E277" s="4" t="s">
        <v>31</v>
      </c>
      <c r="F277" s="69" t="s">
        <v>39</v>
      </c>
      <c r="G277" s="5" t="s">
        <v>34</v>
      </c>
      <c r="H277" s="10">
        <v>45355</v>
      </c>
      <c r="I277" s="21">
        <v>0.16666666666666666</v>
      </c>
      <c r="J277" s="5" t="s">
        <v>14</v>
      </c>
      <c r="K277" s="22"/>
    </row>
    <row r="278" spans="2:11">
      <c r="B278" s="4" t="s">
        <v>10</v>
      </c>
      <c r="C278" s="5">
        <f>IF(B278&lt;&gt;"",VLOOKUP(B278,Projetos!E:F,2,0),"")</f>
        <v>2</v>
      </c>
      <c r="D278" s="5"/>
      <c r="E278" s="4" t="s">
        <v>40</v>
      </c>
      <c r="F278" s="69" t="s">
        <v>41</v>
      </c>
      <c r="G278" s="5" t="s">
        <v>42</v>
      </c>
      <c r="H278" s="10">
        <v>45355</v>
      </c>
      <c r="I278" s="21">
        <v>0.33333333333333331</v>
      </c>
      <c r="J278" s="5" t="s">
        <v>14</v>
      </c>
      <c r="K278" s="22"/>
    </row>
    <row r="279" spans="2:11">
      <c r="B279" s="4" t="s">
        <v>15</v>
      </c>
      <c r="C279" s="5">
        <f>IF(B279&lt;&gt;"",VLOOKUP(B279,Projetos!E:F,2,0),"")</f>
        <v>10</v>
      </c>
      <c r="D279" s="5"/>
      <c r="E279" s="4" t="s">
        <v>23</v>
      </c>
      <c r="F279" s="69" t="s">
        <v>24</v>
      </c>
      <c r="G279" s="5" t="s">
        <v>19</v>
      </c>
      <c r="H279" s="10">
        <v>45355</v>
      </c>
      <c r="I279" s="25">
        <v>0.33333333333333331</v>
      </c>
      <c r="J279" s="5" t="s">
        <v>14</v>
      </c>
      <c r="K279" s="22"/>
    </row>
    <row r="280" spans="2:11">
      <c r="B280" s="4" t="s">
        <v>15</v>
      </c>
      <c r="C280" s="5">
        <f>IF(B280&lt;&gt;"",VLOOKUP(B280,Projetos!E:F,2,0),"")</f>
        <v>10</v>
      </c>
      <c r="D280" s="5"/>
      <c r="E280" s="4" t="s">
        <v>25</v>
      </c>
      <c r="F280" s="69" t="s">
        <v>25</v>
      </c>
      <c r="G280" s="5" t="s">
        <v>18</v>
      </c>
      <c r="H280" s="10">
        <v>45355</v>
      </c>
      <c r="I280" s="25">
        <v>8.3333333333333329E-2</v>
      </c>
      <c r="J280" s="5" t="s">
        <v>14</v>
      </c>
      <c r="K280" s="22"/>
    </row>
    <row r="281" spans="2:11">
      <c r="B281" s="4" t="s">
        <v>30</v>
      </c>
      <c r="C281" s="5">
        <f>IF(B281&lt;&gt;"",VLOOKUP(B281,Projetos!E:F,2,0),"")</f>
        <v>13</v>
      </c>
      <c r="D281" s="5"/>
      <c r="E281" s="4" t="s">
        <v>23</v>
      </c>
      <c r="F281" s="69" t="s">
        <v>55</v>
      </c>
      <c r="G281" s="5" t="s">
        <v>13</v>
      </c>
      <c r="H281" s="10">
        <v>45355</v>
      </c>
      <c r="I281" s="25">
        <v>0.25</v>
      </c>
      <c r="J281" s="5" t="s">
        <v>14</v>
      </c>
      <c r="K281" s="22"/>
    </row>
    <row r="282" spans="2:11">
      <c r="B282" s="4" t="s">
        <v>61</v>
      </c>
      <c r="C282" s="5">
        <f>IF(B282&lt;&gt;"",VLOOKUP(B282,Projetos!E:F,2,0),"")</f>
        <v>11</v>
      </c>
      <c r="D282" s="5"/>
      <c r="E282" s="4" t="s">
        <v>21</v>
      </c>
      <c r="F282" s="69" t="s">
        <v>21</v>
      </c>
      <c r="G282" s="5" t="s">
        <v>64</v>
      </c>
      <c r="H282" s="10">
        <v>45355</v>
      </c>
      <c r="I282" s="25">
        <v>0.16666666666666666</v>
      </c>
      <c r="J282" s="5" t="s">
        <v>14</v>
      </c>
      <c r="K282" s="22"/>
    </row>
    <row r="283" spans="2:11">
      <c r="B283" s="4" t="s">
        <v>61</v>
      </c>
      <c r="C283" s="5">
        <f>IF(B283&lt;&gt;"",VLOOKUP(B283,Projetos!E:F,2,0),"")</f>
        <v>11</v>
      </c>
      <c r="D283" s="5"/>
      <c r="E283" s="4" t="s">
        <v>65</v>
      </c>
      <c r="F283" s="69" t="s">
        <v>65</v>
      </c>
      <c r="G283" s="5" t="s">
        <v>64</v>
      </c>
      <c r="H283" s="10">
        <v>45355</v>
      </c>
      <c r="I283" s="25">
        <v>0.16666666666666666</v>
      </c>
      <c r="J283" s="5" t="s">
        <v>14</v>
      </c>
      <c r="K283" s="22"/>
    </row>
    <row r="284" spans="2:11">
      <c r="B284" s="4" t="s">
        <v>61</v>
      </c>
      <c r="C284" s="5">
        <f>IF(B284&lt;&gt;"",VLOOKUP(B284,Projetos!E:F,2,0),"")</f>
        <v>11</v>
      </c>
      <c r="D284" s="5"/>
      <c r="E284" s="4" t="s">
        <v>65</v>
      </c>
      <c r="F284" s="69" t="s">
        <v>65</v>
      </c>
      <c r="G284" s="5" t="s">
        <v>66</v>
      </c>
      <c r="H284" s="10">
        <v>45355</v>
      </c>
      <c r="I284" s="25">
        <v>0.25</v>
      </c>
      <c r="J284" s="5" t="s">
        <v>14</v>
      </c>
      <c r="K284" s="22"/>
    </row>
    <row r="285" spans="2:11">
      <c r="B285" s="4" t="s">
        <v>10</v>
      </c>
      <c r="C285" s="5">
        <f>IF(B285&lt;&gt;"",VLOOKUP(B285,Projetos!E:F,2,0),"")</f>
        <v>2</v>
      </c>
      <c r="D285" s="5"/>
      <c r="E285" s="4" t="s">
        <v>31</v>
      </c>
      <c r="F285" s="69" t="s">
        <v>39</v>
      </c>
      <c r="G285" s="5" t="s">
        <v>34</v>
      </c>
      <c r="H285" s="10">
        <v>45356</v>
      </c>
      <c r="I285" s="21">
        <v>0.33333333333333331</v>
      </c>
      <c r="J285" s="5" t="s">
        <v>14</v>
      </c>
      <c r="K285" s="22"/>
    </row>
    <row r="286" spans="2:11">
      <c r="B286" s="4" t="s">
        <v>10</v>
      </c>
      <c r="C286" s="5">
        <f>IF(B286&lt;&gt;"",VLOOKUP(B286,Projetos!E:F,2,0),"")</f>
        <v>2</v>
      </c>
      <c r="D286" s="5"/>
      <c r="E286" s="4" t="s">
        <v>40</v>
      </c>
      <c r="F286" s="69" t="s">
        <v>41</v>
      </c>
      <c r="G286" s="5" t="s">
        <v>42</v>
      </c>
      <c r="H286" s="10">
        <v>45356</v>
      </c>
      <c r="I286" s="21">
        <v>0.33333333333333331</v>
      </c>
      <c r="J286" s="5" t="s">
        <v>14</v>
      </c>
      <c r="K286" s="22"/>
    </row>
    <row r="287" spans="2:11">
      <c r="B287" s="4" t="s">
        <v>15</v>
      </c>
      <c r="C287" s="5">
        <f>IF(B287&lt;&gt;"",VLOOKUP(B287,Projetos!E:F,2,0),"")</f>
        <v>10</v>
      </c>
      <c r="D287" s="5"/>
      <c r="E287" s="4" t="s">
        <v>23</v>
      </c>
      <c r="F287" s="69" t="s">
        <v>68</v>
      </c>
      <c r="G287" s="5" t="s">
        <v>19</v>
      </c>
      <c r="H287" s="10">
        <v>45356</v>
      </c>
      <c r="I287" s="25">
        <v>0.33333333333333331</v>
      </c>
      <c r="J287" s="5" t="s">
        <v>14</v>
      </c>
      <c r="K287" s="22"/>
    </row>
    <row r="288" spans="2:11">
      <c r="B288" s="4" t="s">
        <v>15</v>
      </c>
      <c r="C288" s="5">
        <f>IF(B288&lt;&gt;"",VLOOKUP(B288,Projetos!E:F,2,0),"")</f>
        <v>10</v>
      </c>
      <c r="D288" s="5"/>
      <c r="E288" s="4" t="s">
        <v>25</v>
      </c>
      <c r="F288" s="69" t="s">
        <v>25</v>
      </c>
      <c r="G288" s="5" t="s">
        <v>18</v>
      </c>
      <c r="H288" s="10">
        <v>45356</v>
      </c>
      <c r="I288" s="25">
        <v>8.3333333333333329E-2</v>
      </c>
      <c r="J288" s="5" t="s">
        <v>14</v>
      </c>
      <c r="K288" s="22"/>
    </row>
    <row r="289" spans="2:11">
      <c r="B289" s="4" t="s">
        <v>30</v>
      </c>
      <c r="C289" s="5">
        <f>IF(B289&lt;&gt;"",VLOOKUP(B289,Projetos!E:F,2,0),"")</f>
        <v>13</v>
      </c>
      <c r="D289" s="5"/>
      <c r="E289" s="4" t="s">
        <v>23</v>
      </c>
      <c r="F289" s="69" t="s">
        <v>55</v>
      </c>
      <c r="G289" s="5" t="s">
        <v>13</v>
      </c>
      <c r="H289" s="10">
        <v>45356</v>
      </c>
      <c r="I289" s="25">
        <v>0.25</v>
      </c>
      <c r="J289" s="5" t="s">
        <v>14</v>
      </c>
      <c r="K289" s="22"/>
    </row>
    <row r="290" spans="2:11">
      <c r="B290" s="4" t="s">
        <v>61</v>
      </c>
      <c r="C290" s="5">
        <f>IF(B290&lt;&gt;"",VLOOKUP(B290,Projetos!E:F,2,0),"")</f>
        <v>11</v>
      </c>
      <c r="D290" s="5"/>
      <c r="E290" s="4" t="s">
        <v>21</v>
      </c>
      <c r="F290" s="69" t="s">
        <v>21</v>
      </c>
      <c r="G290" s="5" t="s">
        <v>64</v>
      </c>
      <c r="H290" s="10">
        <v>45356</v>
      </c>
      <c r="I290" s="25">
        <v>0.33333333333333331</v>
      </c>
      <c r="J290" s="5" t="s">
        <v>14</v>
      </c>
      <c r="K290" s="22"/>
    </row>
    <row r="291" spans="2:11">
      <c r="B291" s="4" t="s">
        <v>10</v>
      </c>
      <c r="C291" s="5">
        <f>IF(B291&lt;&gt;"",VLOOKUP(B291,Projetos!E:F,2,0),"")</f>
        <v>2</v>
      </c>
      <c r="D291" s="5"/>
      <c r="E291" s="4" t="s">
        <v>40</v>
      </c>
      <c r="F291" s="69" t="s">
        <v>41</v>
      </c>
      <c r="G291" s="5" t="s">
        <v>42</v>
      </c>
      <c r="H291" s="10">
        <v>45357</v>
      </c>
      <c r="I291" s="21">
        <v>0.33333333333333331</v>
      </c>
      <c r="J291" s="5" t="s">
        <v>14</v>
      </c>
      <c r="K291" s="22"/>
    </row>
    <row r="292" spans="2:11">
      <c r="B292" s="4" t="s">
        <v>15</v>
      </c>
      <c r="C292" s="5">
        <f>IF(B292&lt;&gt;"",VLOOKUP(B292,Projetos!E:F,2,0),"")</f>
        <v>10</v>
      </c>
      <c r="D292" s="5"/>
      <c r="E292" s="4" t="s">
        <v>23</v>
      </c>
      <c r="F292" s="69" t="s">
        <v>68</v>
      </c>
      <c r="G292" s="5" t="s">
        <v>19</v>
      </c>
      <c r="H292" s="10">
        <v>45357</v>
      </c>
      <c r="I292" s="25">
        <v>0.33333333333333331</v>
      </c>
      <c r="J292" s="5" t="s">
        <v>14</v>
      </c>
      <c r="K292" s="22"/>
    </row>
    <row r="293" spans="2:11">
      <c r="B293" s="4" t="s">
        <v>15</v>
      </c>
      <c r="C293" s="5">
        <f>IF(B293&lt;&gt;"",VLOOKUP(B293,Projetos!E:F,2,0),"")</f>
        <v>10</v>
      </c>
      <c r="D293" s="5"/>
      <c r="E293" s="4" t="s">
        <v>25</v>
      </c>
      <c r="F293" s="69" t="s">
        <v>25</v>
      </c>
      <c r="G293" s="5" t="s">
        <v>18</v>
      </c>
      <c r="H293" s="10">
        <v>45357</v>
      </c>
      <c r="I293" s="25">
        <v>8.3333333333333329E-2</v>
      </c>
      <c r="J293" s="5" t="s">
        <v>14</v>
      </c>
      <c r="K293" s="22"/>
    </row>
    <row r="294" spans="2:11">
      <c r="B294" s="4" t="s">
        <v>30</v>
      </c>
      <c r="C294" s="5">
        <f>IF(B294&lt;&gt;"",VLOOKUP(B294,Projetos!E:F,2,0),"")</f>
        <v>13</v>
      </c>
      <c r="D294" s="5"/>
      <c r="E294" s="4" t="s">
        <v>23</v>
      </c>
      <c r="F294" s="69" t="s">
        <v>55</v>
      </c>
      <c r="G294" s="5" t="s">
        <v>13</v>
      </c>
      <c r="H294" s="10">
        <v>45357</v>
      </c>
      <c r="I294" s="25">
        <v>0.25</v>
      </c>
      <c r="J294" s="5" t="s">
        <v>14</v>
      </c>
      <c r="K294" s="22"/>
    </row>
    <row r="295" spans="2:11">
      <c r="B295" s="4" t="s">
        <v>61</v>
      </c>
      <c r="C295" s="5">
        <f>IF(B295&lt;&gt;"",VLOOKUP(B295,Projetos!E:F,2,0),"")</f>
        <v>11</v>
      </c>
      <c r="D295" s="5"/>
      <c r="E295" s="4" t="s">
        <v>21</v>
      </c>
      <c r="F295" s="69" t="s">
        <v>21</v>
      </c>
      <c r="G295" s="5" t="s">
        <v>64</v>
      </c>
      <c r="H295" s="10">
        <v>45357</v>
      </c>
      <c r="I295" s="25">
        <v>0.25</v>
      </c>
      <c r="J295" s="5" t="s">
        <v>14</v>
      </c>
      <c r="K295" s="22"/>
    </row>
    <row r="296" spans="2:11">
      <c r="B296" s="4" t="s">
        <v>10</v>
      </c>
      <c r="C296" s="5">
        <f>IF(B296&lt;&gt;"",VLOOKUP(B296,Projetos!E:F,2,0),"")</f>
        <v>2</v>
      </c>
      <c r="D296" s="5"/>
      <c r="E296" s="4" t="s">
        <v>40</v>
      </c>
      <c r="F296" s="69" t="s">
        <v>41</v>
      </c>
      <c r="G296" s="5" t="s">
        <v>42</v>
      </c>
      <c r="H296" s="10">
        <v>45358</v>
      </c>
      <c r="I296" s="21">
        <v>0.33333333333333331</v>
      </c>
      <c r="J296" s="5" t="s">
        <v>14</v>
      </c>
      <c r="K296" s="22"/>
    </row>
    <row r="297" spans="2:11">
      <c r="B297" s="4" t="s">
        <v>15</v>
      </c>
      <c r="C297" s="5">
        <f>IF(B297&lt;&gt;"",VLOOKUP(B297,Projetos!E:F,2,0),"")</f>
        <v>10</v>
      </c>
      <c r="D297" s="5"/>
      <c r="E297" s="4" t="s">
        <v>23</v>
      </c>
      <c r="F297" s="69" t="s">
        <v>68</v>
      </c>
      <c r="G297" s="5" t="s">
        <v>19</v>
      </c>
      <c r="H297" s="10">
        <v>45358</v>
      </c>
      <c r="I297" s="25">
        <v>0.33333333333333331</v>
      </c>
      <c r="J297" s="5" t="s">
        <v>14</v>
      </c>
      <c r="K297" s="22"/>
    </row>
    <row r="298" spans="2:11">
      <c r="B298" s="4" t="s">
        <v>15</v>
      </c>
      <c r="C298" s="5">
        <f>IF(B298&lt;&gt;"",VLOOKUP(B298,Projetos!E:F,2,0),"")</f>
        <v>10</v>
      </c>
      <c r="D298" s="5"/>
      <c r="E298" s="4" t="s">
        <v>25</v>
      </c>
      <c r="F298" s="69" t="s">
        <v>25</v>
      </c>
      <c r="G298" s="5" t="s">
        <v>18</v>
      </c>
      <c r="H298" s="10">
        <v>45358</v>
      </c>
      <c r="I298" s="25">
        <v>8.3333333333333329E-2</v>
      </c>
      <c r="J298" s="5" t="s">
        <v>14</v>
      </c>
      <c r="K298" s="22"/>
    </row>
    <row r="299" spans="2:11">
      <c r="B299" s="4" t="s">
        <v>30</v>
      </c>
      <c r="C299" s="5">
        <f>IF(B299&lt;&gt;"",VLOOKUP(B299,Projetos!E:F,2,0),"")</f>
        <v>13</v>
      </c>
      <c r="D299" s="5"/>
      <c r="E299" s="4" t="s">
        <v>23</v>
      </c>
      <c r="F299" s="69" t="s">
        <v>55</v>
      </c>
      <c r="G299" s="5" t="s">
        <v>13</v>
      </c>
      <c r="H299" s="10">
        <v>45358</v>
      </c>
      <c r="I299" s="25">
        <v>0.25</v>
      </c>
      <c r="J299" s="5" t="s">
        <v>14</v>
      </c>
      <c r="K299" s="22"/>
    </row>
    <row r="300" spans="2:11">
      <c r="B300" s="4" t="s">
        <v>61</v>
      </c>
      <c r="C300" s="5">
        <f>IF(B300&lt;&gt;"",VLOOKUP(B300,Projetos!E:F,2,0),"")</f>
        <v>11</v>
      </c>
      <c r="D300" s="5"/>
      <c r="E300" s="4" t="s">
        <v>49</v>
      </c>
      <c r="F300" s="69" t="s">
        <v>69</v>
      </c>
      <c r="G300" s="5" t="s">
        <v>64</v>
      </c>
      <c r="H300" s="10">
        <v>45358</v>
      </c>
      <c r="I300" s="25">
        <v>8.3333333333333329E-2</v>
      </c>
      <c r="J300" s="5" t="s">
        <v>14</v>
      </c>
      <c r="K300" s="22"/>
    </row>
    <row r="301" spans="2:11">
      <c r="B301" s="4" t="s">
        <v>10</v>
      </c>
      <c r="C301" s="5">
        <f>IF(B301&lt;&gt;"",VLOOKUP(B301,Projetos!E:F,2,0),"")</f>
        <v>2</v>
      </c>
      <c r="D301" s="5"/>
      <c r="E301" s="4" t="s">
        <v>40</v>
      </c>
      <c r="F301" s="69" t="s">
        <v>41</v>
      </c>
      <c r="G301" s="5" t="s">
        <v>42</v>
      </c>
      <c r="H301" s="10">
        <v>45359</v>
      </c>
      <c r="I301" s="21">
        <v>0.33333333333333331</v>
      </c>
      <c r="J301" s="5" t="s">
        <v>14</v>
      </c>
      <c r="K301" s="22"/>
    </row>
    <row r="302" spans="2:11">
      <c r="B302" s="4" t="s">
        <v>15</v>
      </c>
      <c r="C302" s="5">
        <f>IF(B302&lt;&gt;"",VLOOKUP(B302,Projetos!E:F,2,0),"")</f>
        <v>10</v>
      </c>
      <c r="D302" s="5"/>
      <c r="E302" s="4" t="s">
        <v>23</v>
      </c>
      <c r="F302" s="69" t="s">
        <v>68</v>
      </c>
      <c r="G302" s="5" t="s">
        <v>19</v>
      </c>
      <c r="H302" s="10">
        <v>45359</v>
      </c>
      <c r="I302" s="25">
        <v>0.33333333333333331</v>
      </c>
      <c r="J302" s="5" t="s">
        <v>14</v>
      </c>
      <c r="K302" s="22"/>
    </row>
    <row r="303" spans="2:11">
      <c r="B303" s="4" t="s">
        <v>15</v>
      </c>
      <c r="C303" s="5">
        <f>IF(B303&lt;&gt;"",VLOOKUP(B303,Projetos!E:F,2,0),"")</f>
        <v>10</v>
      </c>
      <c r="D303" s="5"/>
      <c r="E303" s="4" t="s">
        <v>25</v>
      </c>
      <c r="F303" s="69" t="s">
        <v>25</v>
      </c>
      <c r="G303" s="5" t="s">
        <v>18</v>
      </c>
      <c r="H303" s="10">
        <v>45359</v>
      </c>
      <c r="I303" s="25">
        <v>8.3333333333333329E-2</v>
      </c>
      <c r="J303" s="5" t="s">
        <v>14</v>
      </c>
      <c r="K303" s="22"/>
    </row>
    <row r="304" spans="2:11">
      <c r="B304" s="4" t="s">
        <v>15</v>
      </c>
      <c r="C304" s="5">
        <f>IF(B304&lt;&gt;"",VLOOKUP(B304,Projetos!E:F,2,0),"")</f>
        <v>10</v>
      </c>
      <c r="D304" s="5"/>
      <c r="E304" s="32" t="s">
        <v>49</v>
      </c>
      <c r="F304" s="73" t="s">
        <v>49</v>
      </c>
      <c r="G304" s="5" t="s">
        <v>19</v>
      </c>
      <c r="H304" s="10">
        <v>45359</v>
      </c>
      <c r="I304" s="25">
        <v>0.33333333333333331</v>
      </c>
      <c r="J304" s="5" t="s">
        <v>14</v>
      </c>
      <c r="K304" s="22"/>
    </row>
    <row r="305" spans="2:11">
      <c r="B305" s="4" t="s">
        <v>30</v>
      </c>
      <c r="C305" s="5">
        <f>IF(B305&lt;&gt;"",VLOOKUP(B305,Projetos!E:F,2,0),"")</f>
        <v>13</v>
      </c>
      <c r="D305" s="5"/>
      <c r="E305" s="4" t="s">
        <v>23</v>
      </c>
      <c r="F305" s="69" t="s">
        <v>55</v>
      </c>
      <c r="G305" s="5" t="s">
        <v>13</v>
      </c>
      <c r="H305" s="10">
        <v>45359</v>
      </c>
      <c r="I305" s="25">
        <v>0.25</v>
      </c>
      <c r="J305" s="5" t="s">
        <v>14</v>
      </c>
      <c r="K305" s="22"/>
    </row>
    <row r="306" spans="2:11">
      <c r="B306" s="4" t="s">
        <v>10</v>
      </c>
      <c r="C306" s="5">
        <f>IF(B306&lt;&gt;"",VLOOKUP(B306,Projetos!E:F,2,0),"")</f>
        <v>2</v>
      </c>
      <c r="D306" s="5"/>
      <c r="E306" s="4" t="s">
        <v>40</v>
      </c>
      <c r="F306" s="69" t="s">
        <v>41</v>
      </c>
      <c r="G306" s="5" t="s">
        <v>42</v>
      </c>
      <c r="H306" s="10">
        <v>45362</v>
      </c>
      <c r="I306" s="21">
        <v>0.33333333333333331</v>
      </c>
      <c r="J306" s="5" t="s">
        <v>14</v>
      </c>
      <c r="K306" s="22"/>
    </row>
    <row r="307" spans="2:11">
      <c r="B307" s="4" t="s">
        <v>15</v>
      </c>
      <c r="C307" s="5">
        <f>IF(B307&lt;&gt;"",VLOOKUP(B307,Projetos!E:F,2,0),"")</f>
        <v>10</v>
      </c>
      <c r="D307" s="5"/>
      <c r="E307" s="4" t="s">
        <v>25</v>
      </c>
      <c r="F307" s="69" t="s">
        <v>25</v>
      </c>
      <c r="G307" s="5" t="s">
        <v>18</v>
      </c>
      <c r="H307" s="10">
        <v>45362</v>
      </c>
      <c r="I307" s="25">
        <v>8.3333333333333329E-2</v>
      </c>
      <c r="J307" s="5" t="s">
        <v>14</v>
      </c>
      <c r="K307" s="22"/>
    </row>
    <row r="308" spans="2:11">
      <c r="B308" s="4" t="s">
        <v>15</v>
      </c>
      <c r="C308" s="5">
        <f>IF(B308&lt;&gt;"",VLOOKUP(B308,Projetos!E:F,2,0),"")</f>
        <v>10</v>
      </c>
      <c r="D308" s="5"/>
      <c r="E308" s="32" t="s">
        <v>49</v>
      </c>
      <c r="F308" s="73" t="s">
        <v>49</v>
      </c>
      <c r="G308" s="5" t="s">
        <v>19</v>
      </c>
      <c r="H308" s="10">
        <v>45362</v>
      </c>
      <c r="I308" s="25">
        <v>0.33333333333333331</v>
      </c>
      <c r="J308" s="5" t="s">
        <v>14</v>
      </c>
      <c r="K308" s="22"/>
    </row>
    <row r="309" spans="2:11">
      <c r="B309" s="4" t="s">
        <v>30</v>
      </c>
      <c r="C309" s="5">
        <f>IF(B309&lt;&gt;"",VLOOKUP(B309,Projetos!E:F,2,0),"")</f>
        <v>13</v>
      </c>
      <c r="D309" s="5"/>
      <c r="E309" s="4" t="s">
        <v>23</v>
      </c>
      <c r="F309" s="69" t="s">
        <v>55</v>
      </c>
      <c r="G309" s="5" t="s">
        <v>13</v>
      </c>
      <c r="H309" s="10">
        <v>45362</v>
      </c>
      <c r="I309" s="25">
        <v>0.25</v>
      </c>
      <c r="J309" s="5" t="s">
        <v>14</v>
      </c>
      <c r="K309" s="22"/>
    </row>
    <row r="310" spans="2:11">
      <c r="B310" s="4" t="s">
        <v>10</v>
      </c>
      <c r="C310" s="5">
        <f>IF(B310&lt;&gt;"",VLOOKUP(B310,Projetos!E:F,2,0),"")</f>
        <v>2</v>
      </c>
      <c r="D310" s="5"/>
      <c r="E310" s="4" t="s">
        <v>40</v>
      </c>
      <c r="F310" s="69" t="s">
        <v>41</v>
      </c>
      <c r="G310" s="5" t="s">
        <v>42</v>
      </c>
      <c r="H310" s="10">
        <v>45363</v>
      </c>
      <c r="I310" s="21">
        <v>0.33333333333333331</v>
      </c>
      <c r="J310" s="5" t="s">
        <v>14</v>
      </c>
      <c r="K310" s="22"/>
    </row>
    <row r="311" spans="2:11">
      <c r="B311" s="4" t="s">
        <v>15</v>
      </c>
      <c r="C311" s="5">
        <f>IF(B311&lt;&gt;"",VLOOKUP(B311,Projetos!E:F,2,0),"")</f>
        <v>10</v>
      </c>
      <c r="D311" s="5"/>
      <c r="E311" s="4" t="s">
        <v>25</v>
      </c>
      <c r="F311" s="69" t="s">
        <v>25</v>
      </c>
      <c r="G311" s="5" t="s">
        <v>18</v>
      </c>
      <c r="H311" s="10">
        <v>45363</v>
      </c>
      <c r="I311" s="25">
        <v>8.3333333333333329E-2</v>
      </c>
      <c r="J311" s="5" t="s">
        <v>14</v>
      </c>
      <c r="K311" s="22"/>
    </row>
    <row r="312" spans="2:11">
      <c r="B312" s="4" t="s">
        <v>15</v>
      </c>
      <c r="C312" s="5">
        <f>IF(B312&lt;&gt;"",VLOOKUP(B312,Projetos!E:F,2,0),"")</f>
        <v>10</v>
      </c>
      <c r="D312" s="5"/>
      <c r="E312" s="32" t="s">
        <v>49</v>
      </c>
      <c r="F312" s="73" t="s">
        <v>49</v>
      </c>
      <c r="G312" s="5" t="s">
        <v>19</v>
      </c>
      <c r="H312" s="10">
        <v>45363</v>
      </c>
      <c r="I312" s="25">
        <v>0.33333333333333331</v>
      </c>
      <c r="J312" s="5" t="s">
        <v>14</v>
      </c>
      <c r="K312" s="22"/>
    </row>
    <row r="313" spans="2:11">
      <c r="B313" s="4" t="s">
        <v>30</v>
      </c>
      <c r="C313" s="5">
        <f>IF(B313&lt;&gt;"",VLOOKUP(B313,Projetos!E:F,2,0),"")</f>
        <v>13</v>
      </c>
      <c r="D313" s="5"/>
      <c r="E313" s="4" t="s">
        <v>23</v>
      </c>
      <c r="F313" s="69" t="s">
        <v>55</v>
      </c>
      <c r="G313" s="5" t="s">
        <v>13</v>
      </c>
      <c r="H313" s="10">
        <v>45363</v>
      </c>
      <c r="I313" s="25">
        <v>0.25</v>
      </c>
      <c r="J313" s="5" t="s">
        <v>14</v>
      </c>
      <c r="K313" s="22"/>
    </row>
    <row r="314" spans="2:11">
      <c r="B314" s="4" t="s">
        <v>10</v>
      </c>
      <c r="C314" s="5">
        <f>IF(B314&lt;&gt;"",VLOOKUP(B314,Projetos!E:F,2,0),"")</f>
        <v>2</v>
      </c>
      <c r="D314" s="5"/>
      <c r="E314" s="4" t="s">
        <v>40</v>
      </c>
      <c r="F314" s="69" t="s">
        <v>41</v>
      </c>
      <c r="G314" s="5" t="s">
        <v>42</v>
      </c>
      <c r="H314" s="10">
        <v>45364</v>
      </c>
      <c r="I314" s="21">
        <v>0.33333333333333331</v>
      </c>
      <c r="J314" s="5" t="s">
        <v>14</v>
      </c>
      <c r="K314" s="22"/>
    </row>
    <row r="315" spans="2:11">
      <c r="B315" s="4" t="s">
        <v>15</v>
      </c>
      <c r="C315" s="5">
        <f>IF(B315&lt;&gt;"",VLOOKUP(B315,Projetos!E:F,2,0),"")</f>
        <v>10</v>
      </c>
      <c r="D315" s="5"/>
      <c r="E315" s="4" t="s">
        <v>25</v>
      </c>
      <c r="F315" s="69" t="s">
        <v>25</v>
      </c>
      <c r="G315" s="5" t="s">
        <v>18</v>
      </c>
      <c r="H315" s="10">
        <v>45364</v>
      </c>
      <c r="I315" s="25">
        <v>8.3333333333333329E-2</v>
      </c>
      <c r="J315" s="5" t="s">
        <v>14</v>
      </c>
      <c r="K315" s="22"/>
    </row>
    <row r="316" spans="2:11">
      <c r="B316" s="4" t="s">
        <v>15</v>
      </c>
      <c r="C316" s="5">
        <f>IF(B316&lt;&gt;"",VLOOKUP(B316,Projetos!E:F,2,0),"")</f>
        <v>10</v>
      </c>
      <c r="D316" s="5"/>
      <c r="E316" s="32" t="s">
        <v>49</v>
      </c>
      <c r="F316" s="73" t="s">
        <v>49</v>
      </c>
      <c r="G316" s="5" t="s">
        <v>19</v>
      </c>
      <c r="H316" s="10">
        <v>45364</v>
      </c>
      <c r="I316" s="25">
        <v>0.33333333333333331</v>
      </c>
      <c r="J316" s="5" t="s">
        <v>14</v>
      </c>
      <c r="K316" s="22"/>
    </row>
    <row r="317" spans="2:11">
      <c r="B317" s="4" t="s">
        <v>30</v>
      </c>
      <c r="C317" s="5">
        <f>IF(B317&lt;&gt;"",VLOOKUP(B317,Projetos!E:F,2,0),"")</f>
        <v>13</v>
      </c>
      <c r="D317" s="5"/>
      <c r="E317" s="4" t="s">
        <v>23</v>
      </c>
      <c r="F317" s="69" t="s">
        <v>55</v>
      </c>
      <c r="G317" s="5" t="s">
        <v>13</v>
      </c>
      <c r="H317" s="10">
        <v>45364</v>
      </c>
      <c r="I317" s="25">
        <v>0.25</v>
      </c>
      <c r="J317" s="5" t="s">
        <v>14</v>
      </c>
      <c r="K317" s="22"/>
    </row>
    <row r="318" spans="2:11">
      <c r="B318" s="4" t="s">
        <v>10</v>
      </c>
      <c r="C318" s="5">
        <f>IF(B318&lt;&gt;"",VLOOKUP(B318,Projetos!E:F,2,0),"")</f>
        <v>2</v>
      </c>
      <c r="D318" s="5"/>
      <c r="E318" s="4" t="s">
        <v>40</v>
      </c>
      <c r="F318" s="69" t="s">
        <v>41</v>
      </c>
      <c r="G318" s="5" t="s">
        <v>42</v>
      </c>
      <c r="H318" s="10">
        <v>45365</v>
      </c>
      <c r="I318" s="21">
        <v>0.33333333333333331</v>
      </c>
      <c r="J318" s="5" t="s">
        <v>14</v>
      </c>
      <c r="K318" s="22"/>
    </row>
    <row r="319" spans="2:11">
      <c r="B319" s="4" t="s">
        <v>15</v>
      </c>
      <c r="C319" s="5">
        <f>IF(B319&lt;&gt;"",VLOOKUP(B319,Projetos!E:F,2,0),"")</f>
        <v>10</v>
      </c>
      <c r="D319" s="5"/>
      <c r="E319" s="4" t="s">
        <v>25</v>
      </c>
      <c r="F319" s="69" t="s">
        <v>25</v>
      </c>
      <c r="G319" s="5" t="s">
        <v>18</v>
      </c>
      <c r="H319" s="10">
        <v>45365</v>
      </c>
      <c r="I319" s="25">
        <v>8.3333333333333329E-2</v>
      </c>
      <c r="J319" s="5" t="s">
        <v>14</v>
      </c>
      <c r="K319" s="22"/>
    </row>
    <row r="320" spans="2:11">
      <c r="B320" s="4" t="s">
        <v>15</v>
      </c>
      <c r="C320" s="5">
        <f>IF(B320&lt;&gt;"",VLOOKUP(B320,Projetos!E:F,2,0),"")</f>
        <v>10</v>
      </c>
      <c r="D320" s="5"/>
      <c r="E320" s="32" t="s">
        <v>49</v>
      </c>
      <c r="F320" s="73" t="s">
        <v>49</v>
      </c>
      <c r="G320" s="5" t="s">
        <v>19</v>
      </c>
      <c r="H320" s="10">
        <v>45365</v>
      </c>
      <c r="I320" s="25">
        <v>0.33333333333333331</v>
      </c>
      <c r="J320" s="5" t="s">
        <v>14</v>
      </c>
      <c r="K320" s="22"/>
    </row>
    <row r="321" spans="2:11">
      <c r="B321" s="4" t="s">
        <v>30</v>
      </c>
      <c r="C321" s="5">
        <f>IF(B321&lt;&gt;"",VLOOKUP(B321,Projetos!E:F,2,0),"")</f>
        <v>13</v>
      </c>
      <c r="D321" s="5"/>
      <c r="E321" s="4" t="s">
        <v>23</v>
      </c>
      <c r="F321" s="69" t="s">
        <v>55</v>
      </c>
      <c r="G321" s="5" t="s">
        <v>13</v>
      </c>
      <c r="H321" s="10">
        <v>45365</v>
      </c>
      <c r="I321" s="25">
        <v>0.25</v>
      </c>
      <c r="J321" s="5" t="s">
        <v>14</v>
      </c>
      <c r="K321" s="22"/>
    </row>
    <row r="322" spans="2:11">
      <c r="B322" s="4" t="s">
        <v>10</v>
      </c>
      <c r="C322" s="5">
        <f>IF(B322&lt;&gt;"",VLOOKUP(B322,Projetos!E:F,2,0),"")</f>
        <v>2</v>
      </c>
      <c r="D322" s="5"/>
      <c r="E322" s="4" t="s">
        <v>25</v>
      </c>
      <c r="F322" s="69" t="s">
        <v>70</v>
      </c>
      <c r="G322" s="5" t="s">
        <v>18</v>
      </c>
      <c r="H322" s="10">
        <v>45366</v>
      </c>
      <c r="I322" s="21">
        <v>0.25</v>
      </c>
      <c r="J322" s="5" t="s">
        <v>14</v>
      </c>
      <c r="K322" s="22"/>
    </row>
    <row r="323" spans="2:11">
      <c r="B323" s="4" t="s">
        <v>15</v>
      </c>
      <c r="C323" s="5">
        <f>IF(B323&lt;&gt;"",VLOOKUP(B323,Projetos!E:F,2,0),"")</f>
        <v>10</v>
      </c>
      <c r="D323" s="5"/>
      <c r="E323" s="4" t="s">
        <v>25</v>
      </c>
      <c r="F323" s="69" t="s">
        <v>25</v>
      </c>
      <c r="G323" s="5" t="s">
        <v>18</v>
      </c>
      <c r="H323" s="10">
        <v>45366</v>
      </c>
      <c r="I323" s="25">
        <v>8.3333333333333329E-2</v>
      </c>
      <c r="J323" s="5" t="s">
        <v>14</v>
      </c>
      <c r="K323" s="22"/>
    </row>
    <row r="324" spans="2:11">
      <c r="B324" s="4" t="s">
        <v>30</v>
      </c>
      <c r="C324" s="5">
        <f>IF(B324&lt;&gt;"",VLOOKUP(B324,Projetos!E:F,2,0),"")</f>
        <v>13</v>
      </c>
      <c r="D324" s="5"/>
      <c r="E324" s="4" t="s">
        <v>23</v>
      </c>
      <c r="F324" s="69" t="s">
        <v>55</v>
      </c>
      <c r="G324" s="5" t="s">
        <v>13</v>
      </c>
      <c r="H324" s="10">
        <v>45366</v>
      </c>
      <c r="I324" s="25">
        <v>0.25</v>
      </c>
      <c r="J324" s="5" t="s">
        <v>14</v>
      </c>
      <c r="K324" s="22"/>
    </row>
    <row r="325" spans="2:11">
      <c r="B325" s="4" t="s">
        <v>61</v>
      </c>
      <c r="C325" s="5">
        <f>IF(B325&lt;&gt;"",VLOOKUP(B325,Projetos!E:F,2,0),"")</f>
        <v>11</v>
      </c>
      <c r="D325" s="5"/>
      <c r="E325" s="4" t="s">
        <v>40</v>
      </c>
      <c r="F325" s="69" t="s">
        <v>71</v>
      </c>
      <c r="G325" s="5" t="s">
        <v>42</v>
      </c>
      <c r="H325" s="10">
        <v>45366</v>
      </c>
      <c r="I325" s="25">
        <v>0.33333333333333331</v>
      </c>
      <c r="J325" s="5" t="s">
        <v>14</v>
      </c>
      <c r="K325" s="22"/>
    </row>
    <row r="326" spans="2:11">
      <c r="B326" s="4" t="s">
        <v>72</v>
      </c>
      <c r="C326" s="5">
        <f>IF(B326&lt;&gt;"",VLOOKUP(B326,Projetos!E:F,2,0),"")</f>
        <v>12</v>
      </c>
      <c r="D326" s="5"/>
      <c r="E326" s="4" t="s">
        <v>16</v>
      </c>
      <c r="F326" s="69" t="s">
        <v>73</v>
      </c>
      <c r="G326" s="5" t="s">
        <v>64</v>
      </c>
      <c r="H326" s="10">
        <v>45369</v>
      </c>
      <c r="I326" s="25">
        <v>0.125</v>
      </c>
      <c r="J326" s="5" t="s">
        <v>14</v>
      </c>
      <c r="K326" s="22"/>
    </row>
    <row r="327" spans="2:11">
      <c r="B327" s="4" t="s">
        <v>72</v>
      </c>
      <c r="C327" s="5">
        <f>IF(B327&lt;&gt;"",VLOOKUP(B327,Projetos!E:F,2,0),"")</f>
        <v>12</v>
      </c>
      <c r="D327" s="5"/>
      <c r="E327" s="4" t="s">
        <v>16</v>
      </c>
      <c r="F327" s="69" t="s">
        <v>73</v>
      </c>
      <c r="G327" s="5" t="s">
        <v>66</v>
      </c>
      <c r="H327" s="10">
        <v>45369</v>
      </c>
      <c r="I327" s="25">
        <v>0.125</v>
      </c>
      <c r="J327" s="5" t="s">
        <v>14</v>
      </c>
      <c r="K327" s="22"/>
    </row>
    <row r="328" spans="2:11">
      <c r="B328" s="4" t="s">
        <v>72</v>
      </c>
      <c r="C328" s="5">
        <f>IF(B328&lt;&gt;"",VLOOKUP(B328,Projetos!E:F,2,0),"")</f>
        <v>12</v>
      </c>
      <c r="D328" s="5"/>
      <c r="E328" s="4" t="s">
        <v>11</v>
      </c>
      <c r="F328" s="69" t="s">
        <v>74</v>
      </c>
      <c r="G328" s="5" t="s">
        <v>64</v>
      </c>
      <c r="H328" s="10">
        <v>45369</v>
      </c>
      <c r="I328" s="25">
        <v>0.125</v>
      </c>
      <c r="J328" s="5" t="s">
        <v>14</v>
      </c>
      <c r="K328" s="22"/>
    </row>
    <row r="329" spans="2:11">
      <c r="B329" s="4" t="s">
        <v>72</v>
      </c>
      <c r="C329" s="5">
        <f>IF(B329&lt;&gt;"",VLOOKUP(B329,Projetos!E:F,2,0),"")</f>
        <v>12</v>
      </c>
      <c r="D329" s="5"/>
      <c r="E329" s="4" t="s">
        <v>11</v>
      </c>
      <c r="F329" s="69" t="s">
        <v>74</v>
      </c>
      <c r="G329" s="5" t="s">
        <v>66</v>
      </c>
      <c r="H329" s="10">
        <v>45369</v>
      </c>
      <c r="I329" s="25">
        <v>0.125</v>
      </c>
      <c r="J329" s="5" t="s">
        <v>14</v>
      </c>
      <c r="K329" s="22"/>
    </row>
    <row r="330" spans="2:11">
      <c r="B330" s="4" t="s">
        <v>72</v>
      </c>
      <c r="C330" s="5">
        <f>IF(B330&lt;&gt;"",VLOOKUP(B330,Projetos!E:F,2,0),"")</f>
        <v>12</v>
      </c>
      <c r="D330" s="5"/>
      <c r="E330" s="4" t="s">
        <v>11</v>
      </c>
      <c r="F330" s="69" t="s">
        <v>74</v>
      </c>
      <c r="G330" s="5" t="s">
        <v>64</v>
      </c>
      <c r="H330" s="10">
        <v>45370</v>
      </c>
      <c r="I330" s="25">
        <v>8.3333333333333329E-2</v>
      </c>
      <c r="J330" s="5" t="s">
        <v>14</v>
      </c>
      <c r="K330" s="22"/>
    </row>
    <row r="331" spans="2:11">
      <c r="B331" s="4" t="s">
        <v>72</v>
      </c>
      <c r="C331" s="5">
        <f>IF(B331&lt;&gt;"",VLOOKUP(B331,Projetos!E:F,2,0),"")</f>
        <v>12</v>
      </c>
      <c r="D331" s="5"/>
      <c r="E331" s="4" t="s">
        <v>11</v>
      </c>
      <c r="F331" s="69" t="s">
        <v>74</v>
      </c>
      <c r="G331" s="5" t="s">
        <v>66</v>
      </c>
      <c r="H331" s="10">
        <v>45370</v>
      </c>
      <c r="I331" s="25">
        <v>8.3333333333333329E-2</v>
      </c>
      <c r="J331" s="5" t="s">
        <v>14</v>
      </c>
      <c r="K331" s="22"/>
    </row>
    <row r="332" spans="2:11">
      <c r="B332" s="4" t="s">
        <v>72</v>
      </c>
      <c r="C332" s="5">
        <f>IF(B332&lt;&gt;"",VLOOKUP(B332,Projetos!E:F,2,0),"")</f>
        <v>12</v>
      </c>
      <c r="D332" s="5"/>
      <c r="E332" s="4" t="s">
        <v>65</v>
      </c>
      <c r="F332" s="69" t="s">
        <v>75</v>
      </c>
      <c r="G332" s="5" t="s">
        <v>64</v>
      </c>
      <c r="H332" s="10">
        <v>45370</v>
      </c>
      <c r="I332" s="25">
        <v>0.25</v>
      </c>
      <c r="J332" s="5" t="s">
        <v>14</v>
      </c>
      <c r="K332" s="22"/>
    </row>
    <row r="333" spans="2:11">
      <c r="B333" s="4" t="s">
        <v>72</v>
      </c>
      <c r="C333" s="5">
        <f>IF(B333&lt;&gt;"",VLOOKUP(B333,Projetos!E:F,2,0),"")</f>
        <v>12</v>
      </c>
      <c r="D333" s="5"/>
      <c r="E333" s="4" t="s">
        <v>65</v>
      </c>
      <c r="F333" s="69" t="s">
        <v>75</v>
      </c>
      <c r="G333" s="5" t="s">
        <v>66</v>
      </c>
      <c r="H333" s="10">
        <v>45370</v>
      </c>
      <c r="I333" s="25">
        <v>0.16666666666666666</v>
      </c>
      <c r="J333" s="5" t="s">
        <v>14</v>
      </c>
      <c r="K333" s="22"/>
    </row>
    <row r="334" spans="2:11">
      <c r="B334" s="4" t="s">
        <v>72</v>
      </c>
      <c r="C334" s="5">
        <f>IF(B334&lt;&gt;"",VLOOKUP(B334,Projetos!E:F,2,0),"")</f>
        <v>12</v>
      </c>
      <c r="D334" s="5"/>
      <c r="E334" s="4" t="s">
        <v>65</v>
      </c>
      <c r="F334" s="69" t="s">
        <v>75</v>
      </c>
      <c r="G334" s="5" t="s">
        <v>64</v>
      </c>
      <c r="H334" s="10">
        <v>45370</v>
      </c>
      <c r="I334" s="25">
        <v>0.33333333333333331</v>
      </c>
      <c r="J334" s="5" t="s">
        <v>14</v>
      </c>
      <c r="K334" s="22"/>
    </row>
    <row r="335" spans="2:11">
      <c r="B335" s="4" t="s">
        <v>72</v>
      </c>
      <c r="C335" s="5">
        <f>IF(B335&lt;&gt;"",VLOOKUP(B335,Projetos!E:F,2,0),"")</f>
        <v>12</v>
      </c>
      <c r="D335" s="5"/>
      <c r="E335" s="4" t="s">
        <v>65</v>
      </c>
      <c r="F335" s="69" t="s">
        <v>75</v>
      </c>
      <c r="G335" s="5" t="s">
        <v>66</v>
      </c>
      <c r="H335" s="10">
        <v>45370</v>
      </c>
      <c r="I335" s="25">
        <v>0.25</v>
      </c>
      <c r="J335" s="5" t="s">
        <v>14</v>
      </c>
      <c r="K335" s="22"/>
    </row>
    <row r="336" spans="2:11">
      <c r="B336" s="4" t="s">
        <v>72</v>
      </c>
      <c r="C336" s="5">
        <f>IF(B336&lt;&gt;"",VLOOKUP(B336,Projetos!E:F,2,0),"")</f>
        <v>12</v>
      </c>
      <c r="D336" s="5"/>
      <c r="E336" s="4" t="s">
        <v>65</v>
      </c>
      <c r="F336" s="69" t="s">
        <v>75</v>
      </c>
      <c r="G336" s="5" t="s">
        <v>64</v>
      </c>
      <c r="H336" s="10">
        <v>45370</v>
      </c>
      <c r="I336" s="25">
        <v>4.1666666666666664E-2</v>
      </c>
      <c r="J336" s="5" t="s">
        <v>14</v>
      </c>
      <c r="K336" s="22"/>
    </row>
    <row r="337" spans="2:11">
      <c r="B337" s="4" t="s">
        <v>72</v>
      </c>
      <c r="C337" s="5">
        <f>IF(B337&lt;&gt;"",VLOOKUP(B337,Projetos!E:F,2,0),"")</f>
        <v>12</v>
      </c>
      <c r="D337" s="5"/>
      <c r="E337" s="4" t="s">
        <v>26</v>
      </c>
      <c r="F337" s="69" t="s">
        <v>76</v>
      </c>
      <c r="G337" s="5" t="s">
        <v>34</v>
      </c>
      <c r="H337" s="53">
        <v>45371</v>
      </c>
      <c r="I337" s="25">
        <v>0.33333333333333331</v>
      </c>
      <c r="J337" s="5" t="s">
        <v>14</v>
      </c>
      <c r="K337" s="22"/>
    </row>
    <row r="338" spans="2:11">
      <c r="B338" s="4" t="s">
        <v>72</v>
      </c>
      <c r="C338" s="5">
        <f>IF(B338&lt;&gt;"",VLOOKUP(B338,Projetos!E:F,2,0),"")</f>
        <v>12</v>
      </c>
      <c r="D338" s="5"/>
      <c r="E338" s="4" t="s">
        <v>26</v>
      </c>
      <c r="F338" s="69" t="s">
        <v>76</v>
      </c>
      <c r="G338" s="5" t="s">
        <v>34</v>
      </c>
      <c r="H338" s="49">
        <v>45371</v>
      </c>
      <c r="I338" s="25">
        <v>0.29166666666666669</v>
      </c>
      <c r="J338" s="5" t="s">
        <v>14</v>
      </c>
      <c r="K338" s="22"/>
    </row>
    <row r="339" spans="2:11">
      <c r="B339" s="4" t="s">
        <v>72</v>
      </c>
      <c r="C339" s="5">
        <f>IF(B339&lt;&gt;"",VLOOKUP(B339,Projetos!E:F,2,0),"")</f>
        <v>12</v>
      </c>
      <c r="D339" s="5"/>
      <c r="E339" s="4" t="s">
        <v>31</v>
      </c>
      <c r="F339" s="69" t="s">
        <v>77</v>
      </c>
      <c r="G339" s="5" t="s">
        <v>66</v>
      </c>
      <c r="H339" s="10">
        <v>45372</v>
      </c>
      <c r="I339" s="25">
        <v>0.25</v>
      </c>
      <c r="J339" s="5" t="s">
        <v>14</v>
      </c>
      <c r="K339" s="22"/>
    </row>
    <row r="340" spans="2:11">
      <c r="B340" s="4" t="s">
        <v>72</v>
      </c>
      <c r="C340" s="5">
        <f>IF(B340&lt;&gt;"",VLOOKUP(B340,Projetos!E:F,2,0),"")</f>
        <v>12</v>
      </c>
      <c r="D340" s="5"/>
      <c r="E340" s="4" t="s">
        <v>31</v>
      </c>
      <c r="F340" s="69" t="s">
        <v>77</v>
      </c>
      <c r="G340" s="5" t="s">
        <v>64</v>
      </c>
      <c r="H340" s="10">
        <v>45372</v>
      </c>
      <c r="I340" s="25">
        <v>0.16666666666666666</v>
      </c>
      <c r="J340" s="5" t="s">
        <v>14</v>
      </c>
      <c r="K340" s="22"/>
    </row>
    <row r="341" spans="2:11">
      <c r="B341" s="4" t="s">
        <v>72</v>
      </c>
      <c r="C341" s="5">
        <f>IF(B341&lt;&gt;"",VLOOKUP(B341,Projetos!E:F,2,0),"")</f>
        <v>12</v>
      </c>
      <c r="D341" s="5"/>
      <c r="E341" s="4" t="s">
        <v>23</v>
      </c>
      <c r="F341" s="69" t="s">
        <v>24</v>
      </c>
      <c r="G341" s="5" t="s">
        <v>64</v>
      </c>
      <c r="H341" s="10">
        <v>45373</v>
      </c>
      <c r="I341" s="25">
        <v>0.33333333333333331</v>
      </c>
      <c r="J341" s="5" t="s">
        <v>14</v>
      </c>
      <c r="K341" s="22"/>
    </row>
    <row r="342" spans="2:11">
      <c r="B342" s="4" t="s">
        <v>72</v>
      </c>
      <c r="C342" s="5">
        <f>IF(B342&lt;&gt;"",VLOOKUP(B342,Projetos!E:F,2,0),"")</f>
        <v>12</v>
      </c>
      <c r="D342" s="5"/>
      <c r="E342" s="4" t="s">
        <v>23</v>
      </c>
      <c r="F342" s="69" t="s">
        <v>24</v>
      </c>
      <c r="G342" s="5" t="s">
        <v>66</v>
      </c>
      <c r="H342" s="10">
        <v>45373</v>
      </c>
      <c r="I342" s="25">
        <v>0.25</v>
      </c>
      <c r="J342" s="5" t="s">
        <v>14</v>
      </c>
      <c r="K342" s="22"/>
    </row>
    <row r="343" spans="2:11">
      <c r="B343" s="4" t="s">
        <v>72</v>
      </c>
      <c r="C343" s="5">
        <f>IF(B343&lt;&gt;"",VLOOKUP(B343,Projetos!E:F,2,0),"")</f>
        <v>12</v>
      </c>
      <c r="D343" s="5"/>
      <c r="E343" s="4" t="s">
        <v>23</v>
      </c>
      <c r="F343" s="69" t="s">
        <v>24</v>
      </c>
      <c r="G343" s="5" t="s">
        <v>64</v>
      </c>
      <c r="H343" s="10">
        <v>45376</v>
      </c>
      <c r="I343" s="25">
        <v>0.33333333333333331</v>
      </c>
      <c r="J343" s="5" t="s">
        <v>14</v>
      </c>
      <c r="K343" s="22"/>
    </row>
    <row r="344" spans="2:11">
      <c r="B344" s="4" t="s">
        <v>72</v>
      </c>
      <c r="C344" s="5">
        <f>IF(B344&lt;&gt;"",VLOOKUP(B344,Projetos!E:F,2,0),"")</f>
        <v>12</v>
      </c>
      <c r="D344" s="5"/>
      <c r="E344" s="4" t="s">
        <v>23</v>
      </c>
      <c r="F344" s="69" t="s">
        <v>24</v>
      </c>
      <c r="G344" s="5" t="s">
        <v>66</v>
      </c>
      <c r="H344" s="10">
        <v>45376</v>
      </c>
      <c r="I344" s="25">
        <v>0.25</v>
      </c>
      <c r="J344" s="5" t="s">
        <v>14</v>
      </c>
      <c r="K344" s="22"/>
    </row>
    <row r="345" spans="2:11">
      <c r="B345" s="4" t="s">
        <v>72</v>
      </c>
      <c r="C345" s="5">
        <f>IF(B345&lt;&gt;"",VLOOKUP(B345,Projetos!E:F,2,0),"")</f>
        <v>12</v>
      </c>
      <c r="D345" s="5"/>
      <c r="E345" s="4" t="s">
        <v>23</v>
      </c>
      <c r="F345" s="69" t="s">
        <v>24</v>
      </c>
      <c r="G345" s="5" t="s">
        <v>64</v>
      </c>
      <c r="H345" s="10">
        <v>45377</v>
      </c>
      <c r="I345" s="25">
        <v>0.33333333333333331</v>
      </c>
      <c r="J345" s="5" t="s">
        <v>14</v>
      </c>
      <c r="K345" s="22"/>
    </row>
    <row r="346" spans="2:11">
      <c r="B346" s="4" t="s">
        <v>72</v>
      </c>
      <c r="C346" s="5">
        <f>IF(B346&lt;&gt;"",VLOOKUP(B346,Projetos!E:F,2,0),"")</f>
        <v>12</v>
      </c>
      <c r="D346" s="5"/>
      <c r="E346" s="4" t="s">
        <v>23</v>
      </c>
      <c r="F346" s="69" t="s">
        <v>24</v>
      </c>
      <c r="G346" s="5" t="s">
        <v>66</v>
      </c>
      <c r="H346" s="10">
        <v>45377</v>
      </c>
      <c r="I346" s="25">
        <v>0.25</v>
      </c>
      <c r="J346" s="5" t="s">
        <v>14</v>
      </c>
      <c r="K346" s="22"/>
    </row>
    <row r="347" spans="2:11">
      <c r="B347" s="4" t="s">
        <v>78</v>
      </c>
      <c r="C347" s="5">
        <f>IF(B347&lt;&gt;"",VLOOKUP(B347,Projetos!E:F,2,0),"")</f>
        <v>14</v>
      </c>
      <c r="D347" s="5"/>
      <c r="E347" s="4" t="s">
        <v>16</v>
      </c>
      <c r="F347" s="69" t="s">
        <v>17</v>
      </c>
      <c r="G347" s="5" t="s">
        <v>64</v>
      </c>
      <c r="H347" s="10">
        <v>45377</v>
      </c>
      <c r="I347" s="21">
        <v>0.125</v>
      </c>
      <c r="J347" s="5" t="s">
        <v>14</v>
      </c>
      <c r="K347" s="22"/>
    </row>
    <row r="348" spans="2:11">
      <c r="B348" s="4" t="s">
        <v>78</v>
      </c>
      <c r="C348" s="5">
        <f>IF(B348&lt;&gt;"",VLOOKUP(B348,Projetos!E:F,2,0),"")</f>
        <v>14</v>
      </c>
      <c r="D348" s="5"/>
      <c r="E348" s="4" t="s">
        <v>16</v>
      </c>
      <c r="F348" s="69" t="s">
        <v>17</v>
      </c>
      <c r="G348" s="5" t="s">
        <v>66</v>
      </c>
      <c r="H348" s="10">
        <v>45377</v>
      </c>
      <c r="I348" s="21">
        <v>0.125</v>
      </c>
      <c r="J348" s="5" t="s">
        <v>14</v>
      </c>
      <c r="K348" s="22"/>
    </row>
    <row r="349" spans="2:11">
      <c r="B349" s="4" t="s">
        <v>78</v>
      </c>
      <c r="C349" s="5">
        <f>IF(B349&lt;&gt;"",VLOOKUP(B349,Projetos!E:F,2,0),"")</f>
        <v>14</v>
      </c>
      <c r="D349" s="5"/>
      <c r="E349" s="4" t="s">
        <v>21</v>
      </c>
      <c r="F349" s="69" t="s">
        <v>79</v>
      </c>
      <c r="G349" s="5" t="s">
        <v>66</v>
      </c>
      <c r="H349" s="10">
        <v>45377</v>
      </c>
      <c r="I349" s="21">
        <v>0.125</v>
      </c>
      <c r="J349" s="5" t="s">
        <v>14</v>
      </c>
      <c r="K349" s="22"/>
    </row>
    <row r="350" spans="2:11">
      <c r="B350" s="4" t="s">
        <v>72</v>
      </c>
      <c r="C350" s="5">
        <f>IF(B350&lt;&gt;"",VLOOKUP(B350,Projetos!E:F,2,0),"")</f>
        <v>12</v>
      </c>
      <c r="D350" s="5"/>
      <c r="E350" s="4" t="s">
        <v>25</v>
      </c>
      <c r="F350" s="69" t="s">
        <v>80</v>
      </c>
      <c r="G350" s="5" t="s">
        <v>20</v>
      </c>
      <c r="H350" s="10">
        <v>45380</v>
      </c>
      <c r="I350" s="25">
        <v>6.25E-2</v>
      </c>
      <c r="J350" s="5" t="s">
        <v>14</v>
      </c>
      <c r="K350" s="22"/>
    </row>
    <row r="351" spans="2:11">
      <c r="B351" s="4" t="s">
        <v>78</v>
      </c>
      <c r="C351" s="5">
        <f>IF(B351&lt;&gt;"",VLOOKUP(B351,Projetos!E:F,2,0),"")</f>
        <v>14</v>
      </c>
      <c r="D351" s="5"/>
      <c r="E351" s="4" t="s">
        <v>21</v>
      </c>
      <c r="F351" s="69" t="s">
        <v>79</v>
      </c>
      <c r="G351" s="5" t="s">
        <v>64</v>
      </c>
      <c r="H351" s="10">
        <v>45377</v>
      </c>
      <c r="I351" s="21">
        <v>0.125</v>
      </c>
      <c r="J351" s="5" t="s">
        <v>14</v>
      </c>
      <c r="K351" s="22"/>
    </row>
    <row r="352" spans="2:11">
      <c r="B352" s="4" t="s">
        <v>15</v>
      </c>
      <c r="C352" s="5">
        <f>IF(B352&lt;&gt;"",VLOOKUP(B352,Projetos!E:F,2,0),"")</f>
        <v>10</v>
      </c>
      <c r="D352" s="5"/>
      <c r="E352" s="4" t="s">
        <v>49</v>
      </c>
      <c r="F352" s="69" t="s">
        <v>49</v>
      </c>
      <c r="G352" s="5" t="s">
        <v>19</v>
      </c>
      <c r="H352" s="10">
        <v>45369</v>
      </c>
      <c r="I352" s="25">
        <v>0.33333333333333331</v>
      </c>
      <c r="J352" s="5" t="s">
        <v>14</v>
      </c>
      <c r="K352" s="22"/>
    </row>
    <row r="353" spans="2:11">
      <c r="B353" s="4" t="s">
        <v>30</v>
      </c>
      <c r="C353" s="5">
        <f>IF(B353&lt;&gt;"",VLOOKUP(B353,Projetos!E:F,2,0),"")</f>
        <v>13</v>
      </c>
      <c r="D353" s="5"/>
      <c r="E353" s="4" t="s">
        <v>23</v>
      </c>
      <c r="F353" s="69" t="s">
        <v>55</v>
      </c>
      <c r="G353" s="5" t="s">
        <v>13</v>
      </c>
      <c r="H353" s="10">
        <v>45369</v>
      </c>
      <c r="I353" s="25">
        <v>0.25</v>
      </c>
      <c r="J353" s="5" t="s">
        <v>14</v>
      </c>
      <c r="K353" s="22"/>
    </row>
    <row r="354" spans="2:11">
      <c r="B354" s="4" t="s">
        <v>61</v>
      </c>
      <c r="C354" s="5">
        <f>IF(B354&lt;&gt;"",VLOOKUP(B354,Projetos!E:F,2,0),"")</f>
        <v>11</v>
      </c>
      <c r="D354" s="5"/>
      <c r="E354" s="4" t="s">
        <v>40</v>
      </c>
      <c r="F354" s="69" t="s">
        <v>71</v>
      </c>
      <c r="G354" s="5" t="s">
        <v>42</v>
      </c>
      <c r="H354" s="10">
        <v>45369</v>
      </c>
      <c r="I354" s="25">
        <v>0.33333333333333331</v>
      </c>
      <c r="J354" s="5" t="s">
        <v>14</v>
      </c>
      <c r="K354" s="22"/>
    </row>
    <row r="355" spans="2:11">
      <c r="B355" s="4" t="s">
        <v>15</v>
      </c>
      <c r="C355" s="5">
        <f>IF(B355&lt;&gt;"",VLOOKUP(B355,Projetos!E:F,2,0),"")</f>
        <v>10</v>
      </c>
      <c r="D355" s="5"/>
      <c r="E355" s="4" t="s">
        <v>49</v>
      </c>
      <c r="F355" s="69" t="s">
        <v>49</v>
      </c>
      <c r="G355" s="5" t="s">
        <v>19</v>
      </c>
      <c r="H355" s="10">
        <v>45370</v>
      </c>
      <c r="I355" s="25">
        <v>0.33333333333333331</v>
      </c>
      <c r="J355" s="5" t="s">
        <v>14</v>
      </c>
      <c r="K355" s="22"/>
    </row>
    <row r="356" spans="2:11">
      <c r="B356" s="4" t="s">
        <v>30</v>
      </c>
      <c r="C356" s="5">
        <f>IF(B356&lt;&gt;"",VLOOKUP(B356,Projetos!E:F,2,0),"")</f>
        <v>13</v>
      </c>
      <c r="D356" s="5"/>
      <c r="E356" s="4" t="s">
        <v>23</v>
      </c>
      <c r="F356" s="69" t="s">
        <v>55</v>
      </c>
      <c r="G356" s="5" t="s">
        <v>13</v>
      </c>
      <c r="H356" s="10">
        <v>45370</v>
      </c>
      <c r="I356" s="25">
        <v>0.25</v>
      </c>
      <c r="J356" s="5" t="s">
        <v>14</v>
      </c>
      <c r="K356" s="22"/>
    </row>
    <row r="357" spans="2:11">
      <c r="B357" s="4" t="s">
        <v>61</v>
      </c>
      <c r="C357" s="5">
        <f>IF(B357&lt;&gt;"",VLOOKUP(B357,Projetos!E:F,2,0),"")</f>
        <v>11</v>
      </c>
      <c r="D357" s="5"/>
      <c r="E357" s="4" t="s">
        <v>40</v>
      </c>
      <c r="F357" s="69" t="s">
        <v>71</v>
      </c>
      <c r="G357" s="5" t="s">
        <v>42</v>
      </c>
      <c r="H357" s="10">
        <v>45370</v>
      </c>
      <c r="I357" s="25">
        <v>0.33333333333333331</v>
      </c>
      <c r="J357" s="5" t="s">
        <v>14</v>
      </c>
      <c r="K357" s="22"/>
    </row>
    <row r="358" spans="2:11">
      <c r="B358" s="4" t="s">
        <v>30</v>
      </c>
      <c r="C358" s="5">
        <f>IF(B358&lt;&gt;"",VLOOKUP(B358,Projetos!E:F,2,0),"")</f>
        <v>13</v>
      </c>
      <c r="D358" s="5"/>
      <c r="E358" s="4" t="s">
        <v>16</v>
      </c>
      <c r="F358" s="69" t="s">
        <v>16</v>
      </c>
      <c r="G358" s="5" t="s">
        <v>19</v>
      </c>
      <c r="H358" s="10">
        <v>45371</v>
      </c>
      <c r="I358" s="25">
        <v>0.20833333333333334</v>
      </c>
      <c r="J358" s="5" t="s">
        <v>14</v>
      </c>
      <c r="K358" s="22"/>
    </row>
    <row r="359" spans="2:11">
      <c r="B359" s="4" t="s">
        <v>30</v>
      </c>
      <c r="C359" s="5">
        <f>IF(B359&lt;&gt;"",VLOOKUP(B359,Projetos!E:F,2,0),"")</f>
        <v>13</v>
      </c>
      <c r="D359" s="5"/>
      <c r="E359" s="4" t="s">
        <v>16</v>
      </c>
      <c r="F359" s="69" t="s">
        <v>16</v>
      </c>
      <c r="G359" s="5" t="s">
        <v>13</v>
      </c>
      <c r="H359" s="10">
        <v>45371</v>
      </c>
      <c r="I359" s="25">
        <v>0.20833333333333334</v>
      </c>
      <c r="J359" s="5" t="s">
        <v>14</v>
      </c>
      <c r="K359" s="22"/>
    </row>
    <row r="360" spans="2:11">
      <c r="B360" s="4" t="s">
        <v>30</v>
      </c>
      <c r="C360" s="5">
        <f>IF(B360&lt;&gt;"",VLOOKUP(B360,Projetos!E:F,2,0),"")</f>
        <v>13</v>
      </c>
      <c r="D360" s="5"/>
      <c r="E360" s="4" t="s">
        <v>23</v>
      </c>
      <c r="F360" s="69" t="s">
        <v>55</v>
      </c>
      <c r="G360" s="5" t="s">
        <v>19</v>
      </c>
      <c r="H360" s="10">
        <v>45371</v>
      </c>
      <c r="I360" s="25">
        <v>0.125</v>
      </c>
      <c r="J360" s="5" t="s">
        <v>14</v>
      </c>
      <c r="K360" s="22"/>
    </row>
    <row r="361" spans="2:11">
      <c r="B361" s="4" t="s">
        <v>61</v>
      </c>
      <c r="C361" s="5">
        <f>IF(B361&lt;&gt;"",VLOOKUP(B361,Projetos!E:F,2,0),"")</f>
        <v>11</v>
      </c>
      <c r="D361" s="5"/>
      <c r="E361" s="4" t="s">
        <v>40</v>
      </c>
      <c r="F361" s="69" t="s">
        <v>71</v>
      </c>
      <c r="G361" s="5" t="s">
        <v>42</v>
      </c>
      <c r="H361" s="10">
        <v>45371</v>
      </c>
      <c r="I361" s="25">
        <v>0.33333333333333331</v>
      </c>
      <c r="J361" s="5" t="s">
        <v>14</v>
      </c>
      <c r="K361" s="22"/>
    </row>
    <row r="362" spans="2:11">
      <c r="B362" s="4" t="s">
        <v>33</v>
      </c>
      <c r="C362" s="5">
        <f>IF(B362&lt;&gt;"",VLOOKUP(B362,Projetos!E:F,2,0),"")</f>
        <v>18</v>
      </c>
      <c r="D362" s="5"/>
      <c r="E362" s="4" t="s">
        <v>21</v>
      </c>
      <c r="F362" s="69" t="s">
        <v>16</v>
      </c>
      <c r="G362" s="5" t="s">
        <v>34</v>
      </c>
      <c r="H362" s="10">
        <v>45371</v>
      </c>
      <c r="I362" s="21">
        <v>8.3333333333333329E-2</v>
      </c>
      <c r="J362" s="5" t="s">
        <v>14</v>
      </c>
      <c r="K362" s="22"/>
    </row>
    <row r="363" spans="2:11">
      <c r="B363" s="4" t="s">
        <v>30</v>
      </c>
      <c r="C363" s="5">
        <f>IF(B363&lt;&gt;"",VLOOKUP(B363,Projetos!E:F,2,0),"")</f>
        <v>13</v>
      </c>
      <c r="D363" s="5"/>
      <c r="E363" s="4" t="s">
        <v>23</v>
      </c>
      <c r="F363" s="69" t="s">
        <v>55</v>
      </c>
      <c r="G363" s="5" t="s">
        <v>19</v>
      </c>
      <c r="H363" s="10">
        <v>45372</v>
      </c>
      <c r="I363" s="25">
        <v>0.33333333333333331</v>
      </c>
      <c r="J363" s="5" t="s">
        <v>14</v>
      </c>
      <c r="K363" s="22"/>
    </row>
    <row r="364" spans="2:11">
      <c r="B364" s="4" t="s">
        <v>30</v>
      </c>
      <c r="C364" s="5">
        <f>IF(B364&lt;&gt;"",VLOOKUP(B364,Projetos!E:F,2,0),"")</f>
        <v>13</v>
      </c>
      <c r="D364" s="5"/>
      <c r="E364" s="4" t="s">
        <v>23</v>
      </c>
      <c r="F364" s="69" t="s">
        <v>55</v>
      </c>
      <c r="G364" s="5" t="s">
        <v>13</v>
      </c>
      <c r="H364" s="10">
        <v>45372</v>
      </c>
      <c r="I364" s="25">
        <v>0.25</v>
      </c>
      <c r="J364" s="5" t="s">
        <v>14</v>
      </c>
      <c r="K364" s="22"/>
    </row>
    <row r="365" spans="2:11">
      <c r="B365" s="4" t="s">
        <v>61</v>
      </c>
      <c r="C365" s="5">
        <f>IF(B365&lt;&gt;"",VLOOKUP(B365,Projetos!E:F,2,0),"")</f>
        <v>11</v>
      </c>
      <c r="D365" s="5"/>
      <c r="E365" s="4" t="s">
        <v>40</v>
      </c>
      <c r="F365" s="69" t="s">
        <v>71</v>
      </c>
      <c r="G365" s="5" t="s">
        <v>42</v>
      </c>
      <c r="H365" s="10">
        <v>45372</v>
      </c>
      <c r="I365" s="25">
        <v>0.33333333333333331</v>
      </c>
      <c r="J365" s="5" t="s">
        <v>14</v>
      </c>
      <c r="K365" s="22"/>
    </row>
    <row r="366" spans="2:11">
      <c r="B366" s="4" t="s">
        <v>30</v>
      </c>
      <c r="C366" s="5">
        <f>IF(B366&lt;&gt;"",VLOOKUP(B366,Projetos!E:F,2,0),"")</f>
        <v>13</v>
      </c>
      <c r="D366" s="5"/>
      <c r="E366" s="4" t="s">
        <v>23</v>
      </c>
      <c r="F366" s="69" t="s">
        <v>55</v>
      </c>
      <c r="G366" s="5" t="s">
        <v>19</v>
      </c>
      <c r="H366" s="10">
        <v>45373</v>
      </c>
      <c r="I366" s="25">
        <v>0.33333333333333331</v>
      </c>
      <c r="J366" s="5" t="s">
        <v>14</v>
      </c>
      <c r="K366" s="22"/>
    </row>
    <row r="367" spans="2:11">
      <c r="B367" s="4" t="s">
        <v>30</v>
      </c>
      <c r="C367" s="5">
        <f>IF(B367&lt;&gt;"",VLOOKUP(B367,Projetos!E:F,2,0),"")</f>
        <v>13</v>
      </c>
      <c r="D367" s="5"/>
      <c r="E367" s="4" t="s">
        <v>23</v>
      </c>
      <c r="F367" s="69" t="s">
        <v>55</v>
      </c>
      <c r="G367" s="5" t="s">
        <v>13</v>
      </c>
      <c r="H367" s="10">
        <v>45373</v>
      </c>
      <c r="I367" s="25">
        <v>0.25</v>
      </c>
      <c r="J367" s="5" t="s">
        <v>14</v>
      </c>
      <c r="K367" s="22"/>
    </row>
    <row r="368" spans="2:11">
      <c r="B368" s="4" t="s">
        <v>61</v>
      </c>
      <c r="C368" s="5">
        <f>IF(B368&lt;&gt;"",VLOOKUP(B368,Projetos!E:F,2,0),"")</f>
        <v>11</v>
      </c>
      <c r="D368" s="5"/>
      <c r="E368" s="4" t="s">
        <v>40</v>
      </c>
      <c r="F368" s="69" t="s">
        <v>71</v>
      </c>
      <c r="G368" s="5" t="s">
        <v>42</v>
      </c>
      <c r="H368" s="10">
        <v>45373</v>
      </c>
      <c r="I368" s="25">
        <v>0.33333333333333331</v>
      </c>
      <c r="J368" s="5" t="s">
        <v>14</v>
      </c>
      <c r="K368" s="22"/>
    </row>
    <row r="369" spans="2:11">
      <c r="B369" s="4" t="s">
        <v>30</v>
      </c>
      <c r="C369" s="5">
        <f>IF(B369&lt;&gt;"",VLOOKUP(B369,Projetos!E:F,2,0),"")</f>
        <v>13</v>
      </c>
      <c r="D369" s="5"/>
      <c r="E369" s="4" t="s">
        <v>23</v>
      </c>
      <c r="F369" s="69" t="s">
        <v>55</v>
      </c>
      <c r="G369" s="5" t="s">
        <v>19</v>
      </c>
      <c r="H369" s="10">
        <v>45376</v>
      </c>
      <c r="I369" s="25">
        <v>0.33333333333333331</v>
      </c>
      <c r="J369" s="5" t="s">
        <v>14</v>
      </c>
      <c r="K369" s="22"/>
    </row>
    <row r="370" spans="2:11">
      <c r="B370" s="4" t="s">
        <v>30</v>
      </c>
      <c r="C370" s="5">
        <f>IF(B370&lt;&gt;"",VLOOKUP(B370,Projetos!E:F,2,0),"")</f>
        <v>13</v>
      </c>
      <c r="D370" s="5"/>
      <c r="E370" s="4" t="s">
        <v>23</v>
      </c>
      <c r="F370" s="69" t="s">
        <v>55</v>
      </c>
      <c r="G370" s="5" t="s">
        <v>13</v>
      </c>
      <c r="H370" s="10">
        <v>45376</v>
      </c>
      <c r="I370" s="25">
        <v>0.25</v>
      </c>
      <c r="J370" s="5" t="s">
        <v>14</v>
      </c>
      <c r="K370" s="22"/>
    </row>
    <row r="371" spans="2:11">
      <c r="B371" s="4" t="s">
        <v>61</v>
      </c>
      <c r="C371" s="5">
        <f>IF(B371&lt;&gt;"",VLOOKUP(B371,Projetos!E:F,2,0),"")</f>
        <v>11</v>
      </c>
      <c r="D371" s="5"/>
      <c r="E371" s="4" t="s">
        <v>40</v>
      </c>
      <c r="F371" s="69" t="s">
        <v>71</v>
      </c>
      <c r="G371" s="5" t="s">
        <v>42</v>
      </c>
      <c r="H371" s="10">
        <v>45376</v>
      </c>
      <c r="I371" s="25">
        <v>0.33333333333333331</v>
      </c>
      <c r="J371" s="5" t="s">
        <v>14</v>
      </c>
      <c r="K371" s="22"/>
    </row>
    <row r="372" spans="2:11">
      <c r="B372" s="4" t="s">
        <v>30</v>
      </c>
      <c r="C372" s="5">
        <f>IF(B372&lt;&gt;"",VLOOKUP(B372,Projetos!E:F,2,0),"")</f>
        <v>13</v>
      </c>
      <c r="D372" s="5"/>
      <c r="E372" s="4" t="s">
        <v>23</v>
      </c>
      <c r="F372" s="69" t="s">
        <v>55</v>
      </c>
      <c r="G372" s="5" t="s">
        <v>19</v>
      </c>
      <c r="H372" s="10">
        <v>45377</v>
      </c>
      <c r="I372" s="25">
        <v>0.33333333333333331</v>
      </c>
      <c r="J372" s="5" t="s">
        <v>14</v>
      </c>
      <c r="K372" s="22"/>
    </row>
    <row r="373" spans="2:11">
      <c r="B373" s="4" t="s">
        <v>30</v>
      </c>
      <c r="C373" s="5">
        <f>IF(B373&lt;&gt;"",VLOOKUP(B373,Projetos!E:F,2,0),"")</f>
        <v>13</v>
      </c>
      <c r="D373" s="5"/>
      <c r="E373" s="4" t="s">
        <v>23</v>
      </c>
      <c r="F373" s="69" t="s">
        <v>55</v>
      </c>
      <c r="G373" s="5" t="s">
        <v>13</v>
      </c>
      <c r="H373" s="10">
        <v>45377</v>
      </c>
      <c r="I373" s="25">
        <v>0.25</v>
      </c>
      <c r="J373" s="5" t="s">
        <v>14</v>
      </c>
      <c r="K373" s="22"/>
    </row>
    <row r="374" spans="2:11">
      <c r="B374" s="4" t="s">
        <v>30</v>
      </c>
      <c r="C374" s="5">
        <f>IF(B374&lt;&gt;"",VLOOKUP(B374,Projetos!E:F,2,0),"")</f>
        <v>13</v>
      </c>
      <c r="D374" s="5"/>
      <c r="E374" s="4" t="s">
        <v>23</v>
      </c>
      <c r="F374" s="69" t="s">
        <v>55</v>
      </c>
      <c r="G374" s="5" t="s">
        <v>19</v>
      </c>
      <c r="H374" s="10">
        <v>45378</v>
      </c>
      <c r="I374" s="25">
        <v>0.33333333333333331</v>
      </c>
      <c r="J374" s="5" t="s">
        <v>14</v>
      </c>
      <c r="K374" s="22"/>
    </row>
    <row r="375" spans="2:11">
      <c r="B375" s="4" t="s">
        <v>30</v>
      </c>
      <c r="C375" s="5">
        <f>IF(B375&lt;&gt;"",VLOOKUP(B375,Projetos!E:F,2,0),"")</f>
        <v>13</v>
      </c>
      <c r="D375" s="5"/>
      <c r="E375" s="4" t="s">
        <v>23</v>
      </c>
      <c r="F375" s="69" t="s">
        <v>55</v>
      </c>
      <c r="G375" s="5" t="s">
        <v>13</v>
      </c>
      <c r="H375" s="10">
        <v>45378</v>
      </c>
      <c r="I375" s="25">
        <v>0.25</v>
      </c>
      <c r="J375" s="5" t="s">
        <v>14</v>
      </c>
      <c r="K375" s="22"/>
    </row>
    <row r="376" spans="2:11">
      <c r="B376" s="4" t="s">
        <v>30</v>
      </c>
      <c r="C376" s="5">
        <f>IF(B376&lt;&gt;"",VLOOKUP(B376,Projetos!E:F,2,0),"")</f>
        <v>13</v>
      </c>
      <c r="D376" s="5"/>
      <c r="E376" s="4" t="s">
        <v>23</v>
      </c>
      <c r="F376" s="69" t="s">
        <v>55</v>
      </c>
      <c r="G376" s="5" t="s">
        <v>19</v>
      </c>
      <c r="H376" s="10">
        <v>45379</v>
      </c>
      <c r="I376" s="25">
        <v>0.33333333333333331</v>
      </c>
      <c r="J376" s="5" t="s">
        <v>14</v>
      </c>
      <c r="K376" s="22"/>
    </row>
    <row r="377" spans="2:11">
      <c r="B377" s="4" t="s">
        <v>30</v>
      </c>
      <c r="C377" s="5">
        <f>IF(B377&lt;&gt;"",VLOOKUP(B377,Projetos!E:F,2,0),"")</f>
        <v>13</v>
      </c>
      <c r="D377" s="5"/>
      <c r="E377" s="4" t="s">
        <v>23</v>
      </c>
      <c r="F377" s="69" t="s">
        <v>55</v>
      </c>
      <c r="G377" s="5" t="s">
        <v>13</v>
      </c>
      <c r="H377" s="10">
        <v>45379</v>
      </c>
      <c r="I377" s="25">
        <v>0.25</v>
      </c>
      <c r="J377" s="5" t="s">
        <v>14</v>
      </c>
      <c r="K377" s="22"/>
    </row>
    <row r="378" spans="2:11">
      <c r="B378" s="4" t="s">
        <v>30</v>
      </c>
      <c r="C378" s="5">
        <f>IF(B378&lt;&gt;"",VLOOKUP(B378,Projetos!E:F,2,0),"")</f>
        <v>13</v>
      </c>
      <c r="D378" s="5"/>
      <c r="E378" s="4" t="s">
        <v>23</v>
      </c>
      <c r="F378" s="69" t="s">
        <v>55</v>
      </c>
      <c r="G378" s="5" t="s">
        <v>19</v>
      </c>
      <c r="H378" s="10">
        <v>45380</v>
      </c>
      <c r="I378" s="25">
        <v>0.33333333333333331</v>
      </c>
      <c r="J378" s="5" t="s">
        <v>14</v>
      </c>
      <c r="K378" s="22"/>
    </row>
    <row r="379" spans="2:11">
      <c r="B379" s="4" t="s">
        <v>30</v>
      </c>
      <c r="C379" s="5">
        <f>IF(B379&lt;&gt;"",VLOOKUP(B379,Projetos!E:F,2,0),"")</f>
        <v>13</v>
      </c>
      <c r="D379" s="5"/>
      <c r="E379" s="4" t="s">
        <v>23</v>
      </c>
      <c r="F379" s="69" t="s">
        <v>55</v>
      </c>
      <c r="G379" s="5" t="s">
        <v>13</v>
      </c>
      <c r="H379" s="10">
        <v>45380</v>
      </c>
      <c r="I379" s="25">
        <v>0.25</v>
      </c>
      <c r="J379" s="5" t="s">
        <v>14</v>
      </c>
      <c r="K379" s="22"/>
    </row>
    <row r="380" spans="2:11">
      <c r="B380" s="4" t="s">
        <v>30</v>
      </c>
      <c r="C380" s="5">
        <f>IF(B380&lt;&gt;"",VLOOKUP(B380,Projetos!E:F,2,0),"")</f>
        <v>13</v>
      </c>
      <c r="D380" s="5"/>
      <c r="E380" s="4" t="s">
        <v>23</v>
      </c>
      <c r="F380" s="69" t="s">
        <v>55</v>
      </c>
      <c r="G380" s="5" t="s">
        <v>19</v>
      </c>
      <c r="H380" s="10">
        <v>45383</v>
      </c>
      <c r="I380" s="25">
        <v>0.33333333333333331</v>
      </c>
      <c r="J380" s="5" t="s">
        <v>14</v>
      </c>
      <c r="K380" s="22"/>
    </row>
    <row r="381" spans="2:11">
      <c r="B381" s="4" t="s">
        <v>30</v>
      </c>
      <c r="C381" s="5">
        <f>IF(B381&lt;&gt;"",VLOOKUP(B381,Projetos!E:F,2,0),"")</f>
        <v>13</v>
      </c>
      <c r="D381" s="5"/>
      <c r="E381" s="4" t="s">
        <v>23</v>
      </c>
      <c r="F381" s="69" t="s">
        <v>55</v>
      </c>
      <c r="G381" s="5" t="s">
        <v>13</v>
      </c>
      <c r="H381" s="10">
        <v>45383</v>
      </c>
      <c r="I381" s="25">
        <v>0.25</v>
      </c>
      <c r="J381" s="5" t="s">
        <v>14</v>
      </c>
      <c r="K381" s="22"/>
    </row>
    <row r="382" spans="2:11">
      <c r="B382" s="4" t="s">
        <v>30</v>
      </c>
      <c r="C382" s="5">
        <f>IF(B382&lt;&gt;"",VLOOKUP(B382,Projetos!E:F,2,0),"")</f>
        <v>13</v>
      </c>
      <c r="D382" s="5"/>
      <c r="E382" s="4" t="s">
        <v>23</v>
      </c>
      <c r="F382" s="69" t="s">
        <v>55</v>
      </c>
      <c r="G382" s="5" t="s">
        <v>19</v>
      </c>
      <c r="H382" s="10">
        <v>45384</v>
      </c>
      <c r="I382" s="25">
        <v>0.33333333333333331</v>
      </c>
      <c r="J382" s="5" t="s">
        <v>14</v>
      </c>
      <c r="K382" s="22"/>
    </row>
    <row r="383" spans="2:11">
      <c r="B383" s="4" t="s">
        <v>30</v>
      </c>
      <c r="C383" s="5">
        <f>IF(B383&lt;&gt;"",VLOOKUP(B383,Projetos!E:F,2,0),"")</f>
        <v>13</v>
      </c>
      <c r="D383" s="5"/>
      <c r="E383" s="4" t="s">
        <v>23</v>
      </c>
      <c r="F383" s="69" t="s">
        <v>55</v>
      </c>
      <c r="G383" s="5" t="s">
        <v>13</v>
      </c>
      <c r="H383" s="10">
        <v>45384</v>
      </c>
      <c r="I383" s="25">
        <v>0.25</v>
      </c>
      <c r="J383" s="5" t="s">
        <v>14</v>
      </c>
      <c r="K383" s="22"/>
    </row>
    <row r="384" spans="2:11">
      <c r="B384" s="4" t="s">
        <v>33</v>
      </c>
      <c r="C384" s="5">
        <f>IF(B384&lt;&gt;"",VLOOKUP(B384,Projetos!E:F,2,0),"")</f>
        <v>18</v>
      </c>
      <c r="D384" s="5"/>
      <c r="E384" s="4" t="s">
        <v>21</v>
      </c>
      <c r="F384" s="69" t="s">
        <v>16</v>
      </c>
      <c r="G384" s="5" t="s">
        <v>34</v>
      </c>
      <c r="H384" s="10">
        <v>45384</v>
      </c>
      <c r="I384" s="21">
        <v>8.3333333333333329E-2</v>
      </c>
      <c r="J384" s="5" t="s">
        <v>14</v>
      </c>
      <c r="K384" s="22"/>
    </row>
    <row r="385" spans="2:11">
      <c r="B385" s="4" t="s">
        <v>30</v>
      </c>
      <c r="C385" s="5">
        <f>IF(B385&lt;&gt;"",VLOOKUP(B385,Projetos!E:F,2,0),"")</f>
        <v>13</v>
      </c>
      <c r="D385" s="5"/>
      <c r="E385" s="4" t="s">
        <v>23</v>
      </c>
      <c r="F385" s="69" t="s">
        <v>55</v>
      </c>
      <c r="G385" s="5" t="s">
        <v>19</v>
      </c>
      <c r="H385" s="10">
        <v>45385</v>
      </c>
      <c r="I385" s="25">
        <v>0.33333333333333331</v>
      </c>
      <c r="J385" s="5" t="s">
        <v>14</v>
      </c>
      <c r="K385" s="22"/>
    </row>
    <row r="386" spans="2:11">
      <c r="B386" s="4" t="s">
        <v>30</v>
      </c>
      <c r="C386" s="5">
        <f>IF(B386&lt;&gt;"",VLOOKUP(B386,Projetos!E:F,2,0),"")</f>
        <v>13</v>
      </c>
      <c r="D386" s="5"/>
      <c r="E386" s="4" t="s">
        <v>23</v>
      </c>
      <c r="F386" s="69" t="s">
        <v>55</v>
      </c>
      <c r="G386" s="5" t="s">
        <v>13</v>
      </c>
      <c r="H386" s="10">
        <v>45385</v>
      </c>
      <c r="I386" s="25">
        <v>0.25</v>
      </c>
      <c r="J386" s="5" t="s">
        <v>14</v>
      </c>
      <c r="K386" s="22"/>
    </row>
    <row r="387" spans="2:11">
      <c r="B387" s="4" t="s">
        <v>30</v>
      </c>
      <c r="C387" s="5">
        <f>IF(B387&lt;&gt;"",VLOOKUP(B387,Projetos!E:F,2,0),"")</f>
        <v>13</v>
      </c>
      <c r="D387" s="5"/>
      <c r="E387" s="4" t="s">
        <v>23</v>
      </c>
      <c r="F387" s="69" t="s">
        <v>55</v>
      </c>
      <c r="G387" s="5" t="s">
        <v>19</v>
      </c>
      <c r="H387" s="10">
        <v>45386</v>
      </c>
      <c r="I387" s="25">
        <v>0.33333333333333331</v>
      </c>
      <c r="J387" s="5" t="s">
        <v>14</v>
      </c>
      <c r="K387" s="22"/>
    </row>
    <row r="388" spans="2:11">
      <c r="B388" s="4" t="s">
        <v>30</v>
      </c>
      <c r="C388" s="5">
        <f>IF(B388&lt;&gt;"",VLOOKUP(B388,Projetos!E:F,2,0),"")</f>
        <v>13</v>
      </c>
      <c r="D388" s="5"/>
      <c r="E388" s="4" t="s">
        <v>23</v>
      </c>
      <c r="F388" s="69" t="s">
        <v>55</v>
      </c>
      <c r="G388" s="5" t="s">
        <v>13</v>
      </c>
      <c r="H388" s="10">
        <v>45386</v>
      </c>
      <c r="I388" s="25">
        <v>0.25</v>
      </c>
      <c r="J388" s="5" t="s">
        <v>14</v>
      </c>
      <c r="K388" s="22"/>
    </row>
    <row r="389" spans="2:11">
      <c r="B389" s="4" t="s">
        <v>30</v>
      </c>
      <c r="C389" s="5">
        <f>IF(B389&lt;&gt;"",VLOOKUP(B389,Projetos!E:F,2,0),"")</f>
        <v>13</v>
      </c>
      <c r="D389" s="5"/>
      <c r="E389" s="4" t="s">
        <v>23</v>
      </c>
      <c r="F389" s="69" t="s">
        <v>55</v>
      </c>
      <c r="G389" s="5" t="s">
        <v>19</v>
      </c>
      <c r="H389" s="10">
        <v>45387</v>
      </c>
      <c r="I389" s="25">
        <v>8.3333333333333329E-2</v>
      </c>
      <c r="J389" s="5" t="s">
        <v>14</v>
      </c>
      <c r="K389" s="22"/>
    </row>
    <row r="390" spans="2:11">
      <c r="B390" s="4" t="s">
        <v>30</v>
      </c>
      <c r="C390" s="5">
        <f>IF(B390&lt;&gt;"",VLOOKUP(B390,Projetos!E:F,2,0),"")</f>
        <v>13</v>
      </c>
      <c r="D390" s="5"/>
      <c r="E390" s="4" t="s">
        <v>23</v>
      </c>
      <c r="F390" s="69" t="s">
        <v>55</v>
      </c>
      <c r="G390" s="5" t="s">
        <v>13</v>
      </c>
      <c r="H390" s="10">
        <v>45387</v>
      </c>
      <c r="I390" s="25">
        <v>0.125</v>
      </c>
      <c r="J390" s="5" t="s">
        <v>14</v>
      </c>
      <c r="K390" s="22"/>
    </row>
    <row r="391" spans="2:11">
      <c r="B391" s="4" t="s">
        <v>30</v>
      </c>
      <c r="C391" s="5">
        <f>IF(B391&lt;&gt;"",VLOOKUP(B391,Projetos!E:F,2,0),"")</f>
        <v>13</v>
      </c>
      <c r="D391" s="5"/>
      <c r="E391" s="4" t="s">
        <v>31</v>
      </c>
      <c r="F391" s="69" t="s">
        <v>81</v>
      </c>
      <c r="G391" s="5" t="s">
        <v>19</v>
      </c>
      <c r="H391" s="10">
        <v>45387</v>
      </c>
      <c r="I391" s="25">
        <v>0.16666666666666666</v>
      </c>
      <c r="J391" s="5" t="s">
        <v>14</v>
      </c>
      <c r="K391" s="22"/>
    </row>
    <row r="392" spans="2:11">
      <c r="B392" s="4" t="s">
        <v>30</v>
      </c>
      <c r="C392" s="5">
        <f>IF(B392&lt;&gt;"",VLOOKUP(B392,Projetos!E:F,2,0),"")</f>
        <v>13</v>
      </c>
      <c r="D392" s="5"/>
      <c r="E392" s="4" t="s">
        <v>31</v>
      </c>
      <c r="F392" s="69" t="s">
        <v>81</v>
      </c>
      <c r="G392" s="5" t="s">
        <v>13</v>
      </c>
      <c r="H392" s="10">
        <v>45387</v>
      </c>
      <c r="I392" s="25">
        <v>8.3333333333333329E-2</v>
      </c>
      <c r="J392" s="5" t="s">
        <v>14</v>
      </c>
      <c r="K392" s="22"/>
    </row>
    <row r="393" spans="2:11">
      <c r="B393" s="4" t="s">
        <v>30</v>
      </c>
      <c r="C393" s="5">
        <f>IF(B393&lt;&gt;"",VLOOKUP(B393,Projetos!E:F,2,0),"")</f>
        <v>13</v>
      </c>
      <c r="D393" s="5"/>
      <c r="E393" s="4" t="s">
        <v>31</v>
      </c>
      <c r="F393" s="69" t="s">
        <v>81</v>
      </c>
      <c r="G393" s="5" t="s">
        <v>19</v>
      </c>
      <c r="H393" s="10">
        <v>45390</v>
      </c>
      <c r="I393" s="25">
        <v>0.33333333333333331</v>
      </c>
      <c r="J393" s="5" t="s">
        <v>14</v>
      </c>
      <c r="K393" s="22"/>
    </row>
    <row r="394" spans="2:11">
      <c r="B394" s="4" t="s">
        <v>30</v>
      </c>
      <c r="C394" s="5">
        <f>IF(B394&lt;&gt;"",VLOOKUP(B394,Projetos!E:F,2,0),"")</f>
        <v>13</v>
      </c>
      <c r="D394" s="5"/>
      <c r="E394" s="4" t="s">
        <v>31</v>
      </c>
      <c r="F394" s="69" t="s">
        <v>81</v>
      </c>
      <c r="G394" s="5" t="s">
        <v>13</v>
      </c>
      <c r="H394" s="10">
        <v>45390</v>
      </c>
      <c r="I394" s="25">
        <v>0.25</v>
      </c>
      <c r="J394" s="5" t="s">
        <v>14</v>
      </c>
      <c r="K394" s="22"/>
    </row>
    <row r="395" spans="2:11">
      <c r="B395" s="4" t="s">
        <v>33</v>
      </c>
      <c r="C395" s="5">
        <f>IF(B395&lt;&gt;"",VLOOKUP(B395,Projetos!E:F,2,0),"")</f>
        <v>18</v>
      </c>
      <c r="D395" s="5"/>
      <c r="E395" s="4" t="s">
        <v>21</v>
      </c>
      <c r="F395" s="69" t="s">
        <v>82</v>
      </c>
      <c r="G395" s="5" t="s">
        <v>34</v>
      </c>
      <c r="H395" s="10">
        <v>45390</v>
      </c>
      <c r="I395" s="21">
        <v>0.16666666666666666</v>
      </c>
      <c r="J395" s="5" t="s">
        <v>14</v>
      </c>
      <c r="K395" s="22"/>
    </row>
    <row r="396" spans="2:11">
      <c r="B396" s="4" t="s">
        <v>30</v>
      </c>
      <c r="C396" s="5">
        <f>IF(B396&lt;&gt;"",VLOOKUP(B396,Projetos!E:F,2,0),"")</f>
        <v>13</v>
      </c>
      <c r="D396" s="5"/>
      <c r="E396" s="4" t="s">
        <v>49</v>
      </c>
      <c r="F396" s="69" t="s">
        <v>83</v>
      </c>
      <c r="G396" s="5" t="s">
        <v>19</v>
      </c>
      <c r="H396" s="10">
        <v>45391</v>
      </c>
      <c r="I396" s="25">
        <v>0.33333333333333331</v>
      </c>
      <c r="J396" s="5" t="s">
        <v>14</v>
      </c>
      <c r="K396" s="22"/>
    </row>
    <row r="397" spans="2:11">
      <c r="B397" s="4" t="s">
        <v>30</v>
      </c>
      <c r="C397" s="5">
        <f>IF(B397&lt;&gt;"",VLOOKUP(B397,Projetos!E:F,2,0),"")</f>
        <v>13</v>
      </c>
      <c r="D397" s="5"/>
      <c r="E397" s="4" t="s">
        <v>49</v>
      </c>
      <c r="F397" s="69" t="s">
        <v>83</v>
      </c>
      <c r="G397" s="5" t="s">
        <v>13</v>
      </c>
      <c r="H397" s="10">
        <v>45391</v>
      </c>
      <c r="I397" s="25">
        <v>0.25</v>
      </c>
      <c r="J397" s="5" t="s">
        <v>14</v>
      </c>
      <c r="K397" s="22"/>
    </row>
    <row r="398" spans="2:11">
      <c r="B398" s="4" t="s">
        <v>33</v>
      </c>
      <c r="C398" s="5">
        <f>IF(B398&lt;&gt;"",VLOOKUP(B398,Projetos!E:F,2,0),"")</f>
        <v>18</v>
      </c>
      <c r="D398" s="5"/>
      <c r="E398" s="4" t="s">
        <v>21</v>
      </c>
      <c r="F398" s="69" t="s">
        <v>16</v>
      </c>
      <c r="G398" s="5" t="s">
        <v>34</v>
      </c>
      <c r="H398" s="10">
        <v>45391</v>
      </c>
      <c r="I398" s="21">
        <v>8.3333333333333329E-2</v>
      </c>
      <c r="J398" s="5" t="s">
        <v>14</v>
      </c>
      <c r="K398" s="22"/>
    </row>
    <row r="399" spans="2:11">
      <c r="B399" s="4" t="s">
        <v>33</v>
      </c>
      <c r="C399" s="5">
        <f>IF(B399&lt;&gt;"",VLOOKUP(B399,Projetos!E:F,2,0),"")</f>
        <v>18</v>
      </c>
      <c r="D399" s="5"/>
      <c r="E399" s="4" t="s">
        <v>21</v>
      </c>
      <c r="F399" s="69" t="s">
        <v>82</v>
      </c>
      <c r="G399" s="5" t="s">
        <v>34</v>
      </c>
      <c r="H399" s="10">
        <v>45391</v>
      </c>
      <c r="I399" s="21">
        <v>0.16666666666666666</v>
      </c>
      <c r="J399" s="5" t="s">
        <v>14</v>
      </c>
      <c r="K399" s="22"/>
    </row>
    <row r="400" spans="2:11">
      <c r="B400" s="4" t="s">
        <v>30</v>
      </c>
      <c r="C400" s="5">
        <f>IF(B400&lt;&gt;"",VLOOKUP(B400,Projetos!E:F,2,0),"")</f>
        <v>13</v>
      </c>
      <c r="D400" s="5"/>
      <c r="E400" s="4" t="s">
        <v>49</v>
      </c>
      <c r="F400" s="69" t="s">
        <v>83</v>
      </c>
      <c r="G400" s="5" t="s">
        <v>19</v>
      </c>
      <c r="H400" s="10">
        <v>45392</v>
      </c>
      <c r="I400" s="25">
        <v>0.33333333333333331</v>
      </c>
      <c r="J400" s="5" t="s">
        <v>14</v>
      </c>
      <c r="K400" s="22"/>
    </row>
    <row r="401" spans="2:11">
      <c r="B401" s="4" t="s">
        <v>30</v>
      </c>
      <c r="C401" s="5">
        <f>IF(B401&lt;&gt;"",VLOOKUP(B401,Projetos!E:F,2,0),"")</f>
        <v>13</v>
      </c>
      <c r="D401" s="5"/>
      <c r="E401" s="4" t="s">
        <v>49</v>
      </c>
      <c r="F401" s="69" t="s">
        <v>83</v>
      </c>
      <c r="G401" s="5" t="s">
        <v>13</v>
      </c>
      <c r="H401" s="10">
        <v>45392</v>
      </c>
      <c r="I401" s="25">
        <v>0.25</v>
      </c>
      <c r="J401" s="5" t="s">
        <v>14</v>
      </c>
      <c r="K401" s="22"/>
    </row>
    <row r="402" spans="2:11">
      <c r="B402" s="4" t="s">
        <v>33</v>
      </c>
      <c r="C402" s="5">
        <f>IF(B402&lt;&gt;"",VLOOKUP(B402,Projetos!E:F,2,0),"")</f>
        <v>18</v>
      </c>
      <c r="D402" s="5"/>
      <c r="E402" s="4" t="s">
        <v>21</v>
      </c>
      <c r="F402" s="69" t="s">
        <v>82</v>
      </c>
      <c r="G402" s="5" t="s">
        <v>34</v>
      </c>
      <c r="H402" s="10">
        <v>45392</v>
      </c>
      <c r="I402" s="21">
        <v>0.16666666666666666</v>
      </c>
      <c r="J402" s="5" t="s">
        <v>14</v>
      </c>
      <c r="K402" s="22"/>
    </row>
    <row r="403" spans="2:11">
      <c r="B403" s="4" t="s">
        <v>30</v>
      </c>
      <c r="C403" s="5">
        <f>IF(B403&lt;&gt;"",VLOOKUP(B403,Projetos!E:F,2,0),"")</f>
        <v>13</v>
      </c>
      <c r="D403" s="5"/>
      <c r="E403" s="4" t="s">
        <v>49</v>
      </c>
      <c r="F403" s="69" t="s">
        <v>83</v>
      </c>
      <c r="G403" s="5" t="s">
        <v>19</v>
      </c>
      <c r="H403" s="10">
        <v>45393</v>
      </c>
      <c r="I403" s="25">
        <v>8.3333333333333329E-2</v>
      </c>
      <c r="J403" s="5" t="s">
        <v>14</v>
      </c>
      <c r="K403" s="22"/>
    </row>
    <row r="404" spans="2:11">
      <c r="B404" s="4" t="s">
        <v>30</v>
      </c>
      <c r="C404" s="5">
        <f>IF(B404&lt;&gt;"",VLOOKUP(B404,Projetos!E:F,2,0),"")</f>
        <v>13</v>
      </c>
      <c r="D404" s="5"/>
      <c r="E404" s="4" t="s">
        <v>25</v>
      </c>
      <c r="F404" s="69" t="s">
        <v>25</v>
      </c>
      <c r="G404" s="5" t="s">
        <v>19</v>
      </c>
      <c r="H404" s="10">
        <v>45393</v>
      </c>
      <c r="I404" s="25">
        <v>8.3333333333333329E-2</v>
      </c>
      <c r="J404" s="5" t="s">
        <v>14</v>
      </c>
      <c r="K404" s="22"/>
    </row>
    <row r="405" spans="2:11">
      <c r="B405" s="4" t="s">
        <v>30</v>
      </c>
      <c r="C405" s="5">
        <f>IF(B405&lt;&gt;"",VLOOKUP(B405,Projetos!E:F,2,0),"")</f>
        <v>13</v>
      </c>
      <c r="D405" s="5"/>
      <c r="E405" s="4" t="s">
        <v>25</v>
      </c>
      <c r="F405" s="69" t="s">
        <v>25</v>
      </c>
      <c r="G405" s="5" t="s">
        <v>13</v>
      </c>
      <c r="H405" s="10">
        <v>45393</v>
      </c>
      <c r="I405" s="25">
        <v>0.16666666666666666</v>
      </c>
      <c r="J405" s="5" t="s">
        <v>14</v>
      </c>
      <c r="K405" s="22"/>
    </row>
    <row r="406" spans="2:11">
      <c r="B406" s="4" t="s">
        <v>33</v>
      </c>
      <c r="C406" s="5">
        <f>IF(B406&lt;&gt;"",VLOOKUP(B406,Projetos!E:F,2,0),"")</f>
        <v>18</v>
      </c>
      <c r="D406" s="5"/>
      <c r="E406" s="4" t="s">
        <v>21</v>
      </c>
      <c r="F406" s="69" t="s">
        <v>82</v>
      </c>
      <c r="G406" s="5" t="s">
        <v>34</v>
      </c>
      <c r="H406" s="10">
        <v>45393</v>
      </c>
      <c r="I406" s="21">
        <v>0.16666666666666666</v>
      </c>
      <c r="J406" s="5" t="s">
        <v>14</v>
      </c>
      <c r="K406" s="22"/>
    </row>
    <row r="407" spans="2:11">
      <c r="B407" s="4" t="s">
        <v>61</v>
      </c>
      <c r="C407" s="5">
        <f>IF(B407&lt;&gt;"",VLOOKUP(B407,Projetos!E:F,2,0),"")</f>
        <v>11</v>
      </c>
      <c r="D407" s="5"/>
      <c r="E407" s="4" t="s">
        <v>16</v>
      </c>
      <c r="F407" s="69" t="s">
        <v>84</v>
      </c>
      <c r="G407" s="5" t="s">
        <v>19</v>
      </c>
      <c r="H407" s="10">
        <v>45394</v>
      </c>
      <c r="I407" s="25">
        <v>8.3333333333333329E-2</v>
      </c>
      <c r="J407" s="5" t="s">
        <v>14</v>
      </c>
      <c r="K407" s="22"/>
    </row>
    <row r="408" spans="2:11">
      <c r="B408" s="4" t="s">
        <v>72</v>
      </c>
      <c r="C408" s="5">
        <f>IF(B408&lt;&gt;"",VLOOKUP(B408,Projetos!E:F,2,0),"")</f>
        <v>12</v>
      </c>
      <c r="D408" s="5"/>
      <c r="E408" s="4" t="s">
        <v>23</v>
      </c>
      <c r="F408" s="69" t="s">
        <v>24</v>
      </c>
      <c r="G408" s="5" t="s">
        <v>64</v>
      </c>
      <c r="H408" s="10">
        <v>45378</v>
      </c>
      <c r="I408" s="25">
        <v>0.33333333333333331</v>
      </c>
      <c r="J408" s="5" t="s">
        <v>14</v>
      </c>
      <c r="K408" s="22"/>
    </row>
    <row r="409" spans="2:11">
      <c r="B409" s="4" t="s">
        <v>72</v>
      </c>
      <c r="C409" s="5">
        <f>IF(B409&lt;&gt;"",VLOOKUP(B409,Projetos!E:F,2,0),"")</f>
        <v>12</v>
      </c>
      <c r="D409" s="5"/>
      <c r="E409" s="4" t="s">
        <v>23</v>
      </c>
      <c r="F409" s="69" t="s">
        <v>24</v>
      </c>
      <c r="G409" s="5" t="s">
        <v>66</v>
      </c>
      <c r="H409" s="10">
        <v>45378</v>
      </c>
      <c r="I409" s="25">
        <v>0.25</v>
      </c>
      <c r="J409" s="5" t="s">
        <v>14</v>
      </c>
      <c r="K409" s="22"/>
    </row>
    <row r="410" spans="2:11">
      <c r="B410" s="4" t="s">
        <v>61</v>
      </c>
      <c r="C410" s="5">
        <f>IF(B410&lt;&gt;"",VLOOKUP(B410,Projetos!E:F,2,0),"")</f>
        <v>11</v>
      </c>
      <c r="D410" s="5"/>
      <c r="E410" s="4" t="s">
        <v>16</v>
      </c>
      <c r="F410" s="69" t="s">
        <v>84</v>
      </c>
      <c r="G410" s="5" t="s">
        <v>20</v>
      </c>
      <c r="H410" s="10">
        <v>45394</v>
      </c>
      <c r="I410" s="25">
        <v>4.1666666666666664E-2</v>
      </c>
      <c r="J410" s="5" t="s">
        <v>14</v>
      </c>
      <c r="K410" s="22"/>
    </row>
    <row r="411" spans="2:11">
      <c r="B411" s="4" t="s">
        <v>61</v>
      </c>
      <c r="C411" s="5">
        <f>IF(B411&lt;&gt;"",VLOOKUP(B411,Projetos!E:F,2,0),"")</f>
        <v>11</v>
      </c>
      <c r="D411" s="5"/>
      <c r="E411" s="4" t="s">
        <v>16</v>
      </c>
      <c r="F411" s="69" t="s">
        <v>84</v>
      </c>
      <c r="G411" s="5" t="s">
        <v>28</v>
      </c>
      <c r="H411" s="10">
        <v>45394</v>
      </c>
      <c r="I411" s="25">
        <v>4.1666666666666664E-2</v>
      </c>
      <c r="J411" s="5" t="s">
        <v>14</v>
      </c>
      <c r="K411" s="22"/>
    </row>
    <row r="412" spans="2:11">
      <c r="B412" s="4" t="s">
        <v>61</v>
      </c>
      <c r="C412" s="5">
        <f>IF(B412&lt;&gt;"",VLOOKUP(B412,Projetos!E:F,2,0),"")</f>
        <v>11</v>
      </c>
      <c r="D412" s="5"/>
      <c r="E412" s="4" t="s">
        <v>16</v>
      </c>
      <c r="F412" s="69" t="s">
        <v>84</v>
      </c>
      <c r="G412" s="5" t="s">
        <v>34</v>
      </c>
      <c r="H412" s="10">
        <v>45394</v>
      </c>
      <c r="I412" s="25">
        <v>4.1666666666666664E-2</v>
      </c>
      <c r="J412" s="5" t="s">
        <v>14</v>
      </c>
      <c r="K412" s="22"/>
    </row>
    <row r="413" spans="2:11">
      <c r="B413" s="4" t="s">
        <v>61</v>
      </c>
      <c r="C413" s="5">
        <f>IF(B413&lt;&gt;"",VLOOKUP(B413,Projetos!E:F,2,0),"")</f>
        <v>11</v>
      </c>
      <c r="D413" s="5"/>
      <c r="E413" s="4" t="s">
        <v>16</v>
      </c>
      <c r="F413" s="69" t="s">
        <v>84</v>
      </c>
      <c r="G413" s="5" t="s">
        <v>42</v>
      </c>
      <c r="H413" s="10">
        <v>45394</v>
      </c>
      <c r="I413" s="25">
        <v>4.1666666666666664E-2</v>
      </c>
      <c r="J413" s="5" t="s">
        <v>14</v>
      </c>
      <c r="K413" s="22"/>
    </row>
    <row r="414" spans="2:11">
      <c r="B414" s="4" t="s">
        <v>33</v>
      </c>
      <c r="C414" s="5">
        <f>IF(B414&lt;&gt;"",VLOOKUP(B414,Projetos!E:F,2,0),"")</f>
        <v>18</v>
      </c>
      <c r="D414" s="5"/>
      <c r="E414" s="4" t="s">
        <v>21</v>
      </c>
      <c r="F414" s="69" t="s">
        <v>82</v>
      </c>
      <c r="G414" s="5" t="s">
        <v>34</v>
      </c>
      <c r="H414" s="10">
        <v>45394</v>
      </c>
      <c r="I414" s="21">
        <v>0.16666666666666666</v>
      </c>
      <c r="J414" s="5" t="s">
        <v>14</v>
      </c>
      <c r="K414" s="22"/>
    </row>
    <row r="415" spans="2:11" ht="30">
      <c r="B415" s="4" t="s">
        <v>85</v>
      </c>
      <c r="C415" s="5">
        <f>IF(B415&lt;&gt;"",VLOOKUP(B415,Projetos!E:F,2,0),"")</f>
        <v>1</v>
      </c>
      <c r="D415" s="5"/>
      <c r="E415" s="4" t="s">
        <v>11</v>
      </c>
      <c r="F415" s="69" t="s">
        <v>86</v>
      </c>
      <c r="G415" s="5" t="s">
        <v>42</v>
      </c>
      <c r="H415" s="10">
        <v>45397</v>
      </c>
      <c r="I415" s="15">
        <v>6.25E-2</v>
      </c>
      <c r="J415" s="5" t="s">
        <v>14</v>
      </c>
      <c r="K415" s="22"/>
    </row>
    <row r="416" spans="2:11">
      <c r="B416" s="4" t="s">
        <v>61</v>
      </c>
      <c r="C416" s="5">
        <f>IF(B416&lt;&gt;"",VLOOKUP(B416,Projetos!E:F,2,0),"")</f>
        <v>11</v>
      </c>
      <c r="D416" s="5"/>
      <c r="E416" s="4" t="s">
        <v>23</v>
      </c>
      <c r="F416" s="69" t="s">
        <v>87</v>
      </c>
      <c r="G416" s="5" t="s">
        <v>19</v>
      </c>
      <c r="H416" s="10">
        <v>45397</v>
      </c>
      <c r="I416" s="25">
        <v>0.33333333333333331</v>
      </c>
      <c r="J416" s="5" t="s">
        <v>14</v>
      </c>
      <c r="K416" s="22"/>
    </row>
    <row r="417" spans="2:11">
      <c r="B417" s="4" t="s">
        <v>33</v>
      </c>
      <c r="C417" s="5">
        <f>IF(B417&lt;&gt;"",VLOOKUP(B417,Projetos!E:F,2,0),"")</f>
        <v>18</v>
      </c>
      <c r="D417" s="5"/>
      <c r="E417" s="4" t="s">
        <v>21</v>
      </c>
      <c r="F417" s="69" t="s">
        <v>82</v>
      </c>
      <c r="G417" s="5" t="s">
        <v>34</v>
      </c>
      <c r="H417" s="10">
        <v>45397</v>
      </c>
      <c r="I417" s="21">
        <v>0.16666666666666666</v>
      </c>
      <c r="J417" s="5" t="s">
        <v>14</v>
      </c>
      <c r="K417" s="22"/>
    </row>
    <row r="418" spans="2:11">
      <c r="B418" s="4" t="s">
        <v>85</v>
      </c>
      <c r="C418" s="5">
        <f>IF(B418&lt;&gt;"",VLOOKUP(B418,Projetos!E:F,2,0),"")</f>
        <v>1</v>
      </c>
      <c r="D418" s="5"/>
      <c r="E418" s="4" t="s">
        <v>26</v>
      </c>
      <c r="F418" s="69" t="s">
        <v>88</v>
      </c>
      <c r="G418" s="5" t="s">
        <v>28</v>
      </c>
      <c r="H418" s="10">
        <v>45398</v>
      </c>
      <c r="I418" s="15">
        <v>0.25</v>
      </c>
      <c r="J418" s="5" t="s">
        <v>14</v>
      </c>
      <c r="K418" s="22"/>
    </row>
    <row r="419" spans="2:11">
      <c r="B419" s="4" t="s">
        <v>85</v>
      </c>
      <c r="C419" s="5">
        <f>IF(B419&lt;&gt;"",VLOOKUP(B419,Projetos!E:F,2,0),"")</f>
        <v>1</v>
      </c>
      <c r="D419" s="5"/>
      <c r="E419" s="4" t="s">
        <v>26</v>
      </c>
      <c r="F419" s="69" t="s">
        <v>88</v>
      </c>
      <c r="G419" s="5" t="s">
        <v>34</v>
      </c>
      <c r="H419" s="10">
        <v>45398</v>
      </c>
      <c r="I419" s="15">
        <v>0.33333333333333331</v>
      </c>
      <c r="J419" s="5" t="s">
        <v>14</v>
      </c>
      <c r="K419" s="22"/>
    </row>
    <row r="420" spans="2:11">
      <c r="B420" s="4" t="s">
        <v>61</v>
      </c>
      <c r="C420" s="5">
        <f>IF(B420&lt;&gt;"",VLOOKUP(B420,Projetos!E:F,2,0),"")</f>
        <v>11</v>
      </c>
      <c r="D420" s="5"/>
      <c r="E420" s="4" t="s">
        <v>23</v>
      </c>
      <c r="F420" s="69" t="s">
        <v>87</v>
      </c>
      <c r="G420" s="5" t="s">
        <v>19</v>
      </c>
      <c r="H420" s="10">
        <v>45398</v>
      </c>
      <c r="I420" s="25">
        <v>0.33333333333333331</v>
      </c>
      <c r="J420" s="5" t="s">
        <v>14</v>
      </c>
      <c r="K420" s="22"/>
    </row>
    <row r="421" spans="2:11">
      <c r="B421" s="4" t="s">
        <v>33</v>
      </c>
      <c r="C421" s="5">
        <f>IF(B421&lt;&gt;"",VLOOKUP(B421,Projetos!E:F,2,0),"")</f>
        <v>18</v>
      </c>
      <c r="D421" s="5"/>
      <c r="E421" s="4" t="s">
        <v>21</v>
      </c>
      <c r="F421" s="69" t="s">
        <v>82</v>
      </c>
      <c r="G421" s="5" t="s">
        <v>34</v>
      </c>
      <c r="H421" s="10">
        <v>45398</v>
      </c>
      <c r="I421" s="21">
        <v>0.16666666666666666</v>
      </c>
      <c r="J421" s="5" t="s">
        <v>14</v>
      </c>
      <c r="K421" s="22"/>
    </row>
    <row r="422" spans="2:11">
      <c r="B422" s="4" t="s">
        <v>85</v>
      </c>
      <c r="C422" s="5">
        <f>IF(B422&lt;&gt;"",VLOOKUP(B422,Projetos!E:F,2,0),"")</f>
        <v>1</v>
      </c>
      <c r="D422" s="5"/>
      <c r="E422" s="4" t="s">
        <v>26</v>
      </c>
      <c r="F422" s="69" t="s">
        <v>88</v>
      </c>
      <c r="G422" s="5" t="s">
        <v>28</v>
      </c>
      <c r="H422" s="10">
        <v>45399</v>
      </c>
      <c r="I422" s="15">
        <v>8.3333333333333329E-2</v>
      </c>
      <c r="J422" s="5" t="s">
        <v>14</v>
      </c>
      <c r="K422" s="22"/>
    </row>
    <row r="423" spans="2:11">
      <c r="B423" s="4" t="s">
        <v>85</v>
      </c>
      <c r="C423" s="5">
        <f>IF(B423&lt;&gt;"",VLOOKUP(B423,Projetos!E:F,2,0),"")</f>
        <v>1</v>
      </c>
      <c r="D423" s="5"/>
      <c r="E423" s="4" t="s">
        <v>31</v>
      </c>
      <c r="F423" s="69" t="s">
        <v>39</v>
      </c>
      <c r="G423" s="5" t="s">
        <v>34</v>
      </c>
      <c r="H423" s="10">
        <v>45399</v>
      </c>
      <c r="I423" s="15">
        <v>0.25</v>
      </c>
      <c r="J423" s="5" t="s">
        <v>14</v>
      </c>
      <c r="K423" s="22"/>
    </row>
    <row r="424" spans="2:11">
      <c r="B424" s="4" t="s">
        <v>61</v>
      </c>
      <c r="C424" s="5">
        <f>IF(B424&lt;&gt;"",VLOOKUP(B424,Projetos!E:F,2,0),"")</f>
        <v>11</v>
      </c>
      <c r="D424" s="5"/>
      <c r="E424" s="4" t="s">
        <v>23</v>
      </c>
      <c r="F424" s="69" t="s">
        <v>87</v>
      </c>
      <c r="G424" s="5" t="s">
        <v>19</v>
      </c>
      <c r="H424" s="10">
        <v>45399</v>
      </c>
      <c r="I424" s="25">
        <v>0.33333333333333331</v>
      </c>
      <c r="J424" s="5" t="s">
        <v>14</v>
      </c>
      <c r="K424" s="22"/>
    </row>
    <row r="425" spans="2:11">
      <c r="B425" s="4" t="s">
        <v>33</v>
      </c>
      <c r="C425" s="5">
        <f>IF(B425&lt;&gt;"",VLOOKUP(B425,Projetos!E:F,2,0),"")</f>
        <v>18</v>
      </c>
      <c r="D425" s="5"/>
      <c r="E425" s="4" t="s">
        <v>21</v>
      </c>
      <c r="F425" s="69" t="s">
        <v>82</v>
      </c>
      <c r="G425" s="5" t="s">
        <v>34</v>
      </c>
      <c r="H425" s="10">
        <v>45399</v>
      </c>
      <c r="I425" s="21">
        <v>0.16666666666666666</v>
      </c>
      <c r="J425" s="5" t="s">
        <v>14</v>
      </c>
      <c r="K425" s="22"/>
    </row>
    <row r="426" spans="2:11">
      <c r="B426" s="4" t="s">
        <v>85</v>
      </c>
      <c r="C426" s="5">
        <f>IF(B426&lt;&gt;"",VLOOKUP(B426,Projetos!E:F,2,0),"")</f>
        <v>1</v>
      </c>
      <c r="D426" s="5"/>
      <c r="E426" s="4" t="s">
        <v>31</v>
      </c>
      <c r="F426" s="69" t="s">
        <v>39</v>
      </c>
      <c r="G426" s="5" t="s">
        <v>34</v>
      </c>
      <c r="H426" s="10">
        <v>45400</v>
      </c>
      <c r="I426" s="15">
        <v>8.3333333333333329E-2</v>
      </c>
      <c r="J426" s="5" t="s">
        <v>14</v>
      </c>
      <c r="K426" s="22"/>
    </row>
    <row r="427" spans="2:11">
      <c r="B427" s="4" t="s">
        <v>61</v>
      </c>
      <c r="C427" s="5">
        <f>IF(B427&lt;&gt;"",VLOOKUP(B427,Projetos!E:F,2,0),"")</f>
        <v>11</v>
      </c>
      <c r="D427" s="5"/>
      <c r="E427" s="4" t="s">
        <v>23</v>
      </c>
      <c r="F427" s="69" t="s">
        <v>87</v>
      </c>
      <c r="G427" s="5" t="s">
        <v>19</v>
      </c>
      <c r="H427" s="10">
        <v>45400</v>
      </c>
      <c r="I427" s="25">
        <v>0.33333333333333331</v>
      </c>
      <c r="J427" s="5" t="s">
        <v>14</v>
      </c>
      <c r="K427" s="22"/>
    </row>
    <row r="428" spans="2:11">
      <c r="B428" s="4" t="s">
        <v>33</v>
      </c>
      <c r="C428" s="5">
        <f>IF(B428&lt;&gt;"",VLOOKUP(B428,Projetos!E:F,2,0),"")</f>
        <v>18</v>
      </c>
      <c r="D428" s="5"/>
      <c r="E428" s="4" t="s">
        <v>21</v>
      </c>
      <c r="F428" s="69" t="s">
        <v>82</v>
      </c>
      <c r="G428" s="5" t="s">
        <v>34</v>
      </c>
      <c r="H428" s="10">
        <v>45400</v>
      </c>
      <c r="I428" s="21">
        <v>0.16666666666666666</v>
      </c>
      <c r="J428" s="5" t="s">
        <v>14</v>
      </c>
      <c r="K428" s="22"/>
    </row>
    <row r="429" spans="2:11">
      <c r="B429" s="4" t="s">
        <v>85</v>
      </c>
      <c r="C429" s="5">
        <f>IF(B429&lt;&gt;"",VLOOKUP(B429,Projetos!E:F,2,0),"")</f>
        <v>1</v>
      </c>
      <c r="D429" s="5"/>
      <c r="E429" s="4" t="s">
        <v>40</v>
      </c>
      <c r="F429" s="69" t="s">
        <v>89</v>
      </c>
      <c r="G429" s="5" t="s">
        <v>42</v>
      </c>
      <c r="H429" s="10">
        <v>45401</v>
      </c>
      <c r="I429" s="15">
        <v>1.3888888888888888E-2</v>
      </c>
      <c r="J429" s="5" t="s">
        <v>14</v>
      </c>
      <c r="K429" s="22"/>
    </row>
    <row r="430" spans="2:11">
      <c r="B430" s="4" t="s">
        <v>61</v>
      </c>
      <c r="C430" s="5">
        <f>IF(B430&lt;&gt;"",VLOOKUP(B430,Projetos!E:F,2,0),"")</f>
        <v>11</v>
      </c>
      <c r="D430" s="5"/>
      <c r="E430" s="4" t="s">
        <v>23</v>
      </c>
      <c r="F430" s="69" t="s">
        <v>87</v>
      </c>
      <c r="G430" s="5" t="s">
        <v>19</v>
      </c>
      <c r="H430" s="10">
        <v>45401</v>
      </c>
      <c r="I430" s="25">
        <v>0.33333333333333331</v>
      </c>
      <c r="J430" s="5" t="s">
        <v>14</v>
      </c>
      <c r="K430" s="22"/>
    </row>
    <row r="431" spans="2:11">
      <c r="B431" s="4" t="s">
        <v>33</v>
      </c>
      <c r="C431" s="5">
        <f>IF(B431&lt;&gt;"",VLOOKUP(B431,Projetos!E:F,2,0),"")</f>
        <v>18</v>
      </c>
      <c r="D431" s="5"/>
      <c r="E431" s="4" t="s">
        <v>21</v>
      </c>
      <c r="F431" s="69" t="s">
        <v>82</v>
      </c>
      <c r="G431" s="5" t="s">
        <v>34</v>
      </c>
      <c r="H431" s="10">
        <v>45401</v>
      </c>
      <c r="I431" s="21">
        <v>0.16666666666666666</v>
      </c>
      <c r="J431" s="5" t="s">
        <v>14</v>
      </c>
      <c r="K431" s="22"/>
    </row>
    <row r="432" spans="2:11">
      <c r="B432" s="4" t="s">
        <v>85</v>
      </c>
      <c r="C432" s="5">
        <f>IF(B432&lt;&gt;"",VLOOKUP(B432,Projetos!E:F,2,0),"")</f>
        <v>1</v>
      </c>
      <c r="D432" s="5"/>
      <c r="E432" s="4" t="s">
        <v>40</v>
      </c>
      <c r="F432" s="69" t="s">
        <v>90</v>
      </c>
      <c r="G432" s="5" t="s">
        <v>42</v>
      </c>
      <c r="H432" s="10">
        <v>45404</v>
      </c>
      <c r="I432" s="15">
        <v>0.25</v>
      </c>
      <c r="J432" s="5" t="s">
        <v>14</v>
      </c>
      <c r="K432" s="22"/>
    </row>
    <row r="433" spans="2:11">
      <c r="B433" s="4" t="s">
        <v>33</v>
      </c>
      <c r="C433" s="5">
        <f>IF(B433&lt;&gt;"",VLOOKUP(B433,Projetos!E:F,2,0),"")</f>
        <v>18</v>
      </c>
      <c r="D433" s="5"/>
      <c r="E433" s="4" t="s">
        <v>21</v>
      </c>
      <c r="F433" s="69" t="s">
        <v>82</v>
      </c>
      <c r="G433" s="5" t="s">
        <v>34</v>
      </c>
      <c r="H433" s="10">
        <v>45404</v>
      </c>
      <c r="I433" s="21">
        <v>0.16666666666666666</v>
      </c>
      <c r="J433" s="5" t="s">
        <v>14</v>
      </c>
      <c r="K433" s="22"/>
    </row>
    <row r="434" spans="2:11">
      <c r="B434" s="4" t="s">
        <v>85</v>
      </c>
      <c r="C434" s="5">
        <f>IF(B434&lt;&gt;"",VLOOKUP(B434,Projetos!E:F,2,0),"")</f>
        <v>1</v>
      </c>
      <c r="D434" s="5"/>
      <c r="E434" s="4" t="s">
        <v>40</v>
      </c>
      <c r="F434" s="69" t="s">
        <v>91</v>
      </c>
      <c r="G434" s="5" t="s">
        <v>42</v>
      </c>
      <c r="H434" s="10">
        <v>45405</v>
      </c>
      <c r="I434" s="15">
        <v>0.25</v>
      </c>
      <c r="J434" s="5" t="s">
        <v>14</v>
      </c>
      <c r="K434" s="22"/>
    </row>
    <row r="435" spans="2:11">
      <c r="B435" s="4" t="s">
        <v>33</v>
      </c>
      <c r="C435" s="5">
        <f>IF(B435&lt;&gt;"",VLOOKUP(B435,Projetos!E:F,2,0),"")</f>
        <v>18</v>
      </c>
      <c r="D435" s="5"/>
      <c r="E435" s="4" t="s">
        <v>21</v>
      </c>
      <c r="F435" s="69" t="s">
        <v>82</v>
      </c>
      <c r="G435" s="5" t="s">
        <v>34</v>
      </c>
      <c r="H435" s="10">
        <v>45405</v>
      </c>
      <c r="I435" s="21">
        <v>0.16666666666666666</v>
      </c>
      <c r="J435" s="5" t="s">
        <v>14</v>
      </c>
      <c r="K435" s="22"/>
    </row>
    <row r="436" spans="2:11">
      <c r="B436" s="4" t="s">
        <v>85</v>
      </c>
      <c r="C436" s="5">
        <f>IF(B436&lt;&gt;"",VLOOKUP(B436,Projetos!E:F,2,0),"")</f>
        <v>1</v>
      </c>
      <c r="D436" s="5"/>
      <c r="E436" s="4" t="s">
        <v>40</v>
      </c>
      <c r="F436" s="69" t="s">
        <v>91</v>
      </c>
      <c r="G436" s="5" t="s">
        <v>42</v>
      </c>
      <c r="H436" s="10">
        <v>45406</v>
      </c>
      <c r="I436" s="15">
        <v>0.25</v>
      </c>
      <c r="J436" s="5" t="s">
        <v>14</v>
      </c>
      <c r="K436" s="22"/>
    </row>
    <row r="437" spans="2:11">
      <c r="B437" s="4" t="s">
        <v>33</v>
      </c>
      <c r="C437" s="5">
        <f>IF(B437&lt;&gt;"",VLOOKUP(B437,Projetos!E:F,2,0),"")</f>
        <v>18</v>
      </c>
      <c r="D437" s="5"/>
      <c r="E437" s="4" t="s">
        <v>21</v>
      </c>
      <c r="F437" s="69" t="s">
        <v>82</v>
      </c>
      <c r="G437" s="5" t="s">
        <v>34</v>
      </c>
      <c r="H437" s="10">
        <v>45406</v>
      </c>
      <c r="I437" s="21">
        <v>0.16666666666666666</v>
      </c>
      <c r="J437" s="5" t="s">
        <v>14</v>
      </c>
      <c r="K437" s="22"/>
    </row>
    <row r="438" spans="2:11">
      <c r="B438" s="4" t="s">
        <v>85</v>
      </c>
      <c r="C438" s="5">
        <f>IF(B438&lt;&gt;"",VLOOKUP(B438,Projetos!E:F,2,0),"")</f>
        <v>1</v>
      </c>
      <c r="D438" s="5"/>
      <c r="E438" s="4" t="s">
        <v>40</v>
      </c>
      <c r="F438" s="69" t="s">
        <v>92</v>
      </c>
      <c r="G438" s="5" t="s">
        <v>42</v>
      </c>
      <c r="H438" s="10">
        <v>45407</v>
      </c>
      <c r="I438" s="15">
        <v>0.33333333333333331</v>
      </c>
      <c r="J438" s="5" t="s">
        <v>14</v>
      </c>
      <c r="K438" s="22"/>
    </row>
    <row r="439" spans="2:11">
      <c r="B439" s="4" t="s">
        <v>33</v>
      </c>
      <c r="C439" s="5">
        <f>IF(B439&lt;&gt;"",VLOOKUP(B439,Projetos!E:F,2,0),"")</f>
        <v>18</v>
      </c>
      <c r="D439" s="5"/>
      <c r="E439" s="4" t="s">
        <v>21</v>
      </c>
      <c r="F439" s="69" t="s">
        <v>82</v>
      </c>
      <c r="G439" s="5" t="s">
        <v>34</v>
      </c>
      <c r="H439" s="10">
        <v>45407</v>
      </c>
      <c r="I439" s="21">
        <v>0.16666666666666666</v>
      </c>
      <c r="J439" s="5" t="s">
        <v>14</v>
      </c>
      <c r="K439" s="22"/>
    </row>
    <row r="440" spans="2:11">
      <c r="B440" s="4" t="s">
        <v>85</v>
      </c>
      <c r="C440" s="5">
        <f>IF(B440&lt;&gt;"",VLOOKUP(B440,Projetos!E:F,2,0),"")</f>
        <v>1</v>
      </c>
      <c r="D440" s="5"/>
      <c r="E440" s="4" t="s">
        <v>40</v>
      </c>
      <c r="F440" s="69" t="s">
        <v>92</v>
      </c>
      <c r="G440" s="5" t="s">
        <v>42</v>
      </c>
      <c r="H440" s="10">
        <v>45408</v>
      </c>
      <c r="I440" s="15">
        <v>0.33333333333333331</v>
      </c>
      <c r="J440" s="5" t="s">
        <v>14</v>
      </c>
      <c r="K440" s="22"/>
    </row>
    <row r="441" spans="2:11">
      <c r="B441" s="4" t="s">
        <v>33</v>
      </c>
      <c r="C441" s="5">
        <f>IF(B441&lt;&gt;"",VLOOKUP(B441,Projetos!E:F,2,0),"")</f>
        <v>18</v>
      </c>
      <c r="D441" s="5"/>
      <c r="E441" s="4" t="s">
        <v>26</v>
      </c>
      <c r="F441" s="69" t="s">
        <v>93</v>
      </c>
      <c r="G441" s="5" t="s">
        <v>34</v>
      </c>
      <c r="H441" s="10">
        <v>45408</v>
      </c>
      <c r="I441" s="21">
        <v>0.16666666666666666</v>
      </c>
      <c r="J441" s="5" t="s">
        <v>14</v>
      </c>
      <c r="K441" s="22"/>
    </row>
    <row r="442" spans="2:11">
      <c r="B442" s="4" t="s">
        <v>85</v>
      </c>
      <c r="C442" s="5">
        <f>IF(B442&lt;&gt;"",VLOOKUP(B442,Projetos!E:F,2,0),"")</f>
        <v>1</v>
      </c>
      <c r="D442" s="5"/>
      <c r="E442" s="4" t="s">
        <v>40</v>
      </c>
      <c r="F442" s="69" t="s">
        <v>92</v>
      </c>
      <c r="G442" s="5" t="s">
        <v>42</v>
      </c>
      <c r="H442" s="10">
        <v>45411</v>
      </c>
      <c r="I442" s="15">
        <v>0.33333333333333331</v>
      </c>
      <c r="J442" s="5" t="s">
        <v>14</v>
      </c>
      <c r="K442" s="22"/>
    </row>
    <row r="443" spans="2:11">
      <c r="B443" s="4" t="s">
        <v>33</v>
      </c>
      <c r="C443" s="5">
        <f>IF(B443&lt;&gt;"",VLOOKUP(B443,Projetos!E:F,2,0),"")</f>
        <v>18</v>
      </c>
      <c r="D443" s="5"/>
      <c r="E443" s="4" t="s">
        <v>26</v>
      </c>
      <c r="F443" s="69" t="s">
        <v>93</v>
      </c>
      <c r="G443" s="5" t="s">
        <v>34</v>
      </c>
      <c r="H443" s="10">
        <v>45411</v>
      </c>
      <c r="I443" s="21">
        <v>0.16666666666666666</v>
      </c>
      <c r="J443" s="5" t="s">
        <v>14</v>
      </c>
      <c r="K443" s="22"/>
    </row>
    <row r="444" spans="2:11">
      <c r="B444" s="4" t="s">
        <v>85</v>
      </c>
      <c r="C444" s="5">
        <f>IF(B444&lt;&gt;"",VLOOKUP(B444,Projetos!E:F,2,0),"")</f>
        <v>1</v>
      </c>
      <c r="D444" s="5"/>
      <c r="E444" s="4" t="s">
        <v>40</v>
      </c>
      <c r="F444" s="69" t="s">
        <v>92</v>
      </c>
      <c r="G444" s="5" t="s">
        <v>42</v>
      </c>
      <c r="H444" s="10">
        <v>45412</v>
      </c>
      <c r="I444" s="15">
        <v>0.33333333333333331</v>
      </c>
      <c r="J444" s="5" t="s">
        <v>14</v>
      </c>
      <c r="K444" s="22"/>
    </row>
    <row r="445" spans="2:11">
      <c r="B445" s="4" t="s">
        <v>33</v>
      </c>
      <c r="C445" s="5">
        <f>IF(B445&lt;&gt;"",VLOOKUP(B445,Projetos!E:F,2,0),"")</f>
        <v>18</v>
      </c>
      <c r="D445" s="5"/>
      <c r="E445" s="4" t="s">
        <v>26</v>
      </c>
      <c r="F445" s="69" t="s">
        <v>93</v>
      </c>
      <c r="G445" s="5" t="s">
        <v>34</v>
      </c>
      <c r="H445" s="10">
        <v>45412</v>
      </c>
      <c r="I445" s="21">
        <v>0.16666666666666666</v>
      </c>
      <c r="J445" s="5" t="s">
        <v>14</v>
      </c>
      <c r="K445" s="22"/>
    </row>
    <row r="446" spans="2:11">
      <c r="B446" s="4" t="s">
        <v>78</v>
      </c>
      <c r="C446" s="5">
        <f>IF(B446&lt;&gt;"",VLOOKUP(B446,Projetos!E:F,2,0),"")</f>
        <v>14</v>
      </c>
      <c r="D446" s="5"/>
      <c r="E446" s="4" t="s">
        <v>65</v>
      </c>
      <c r="F446" s="69" t="s">
        <v>94</v>
      </c>
      <c r="G446" s="5" t="s">
        <v>64</v>
      </c>
      <c r="H446" s="10">
        <v>45378</v>
      </c>
      <c r="I446" s="21">
        <v>0.16666666666666666</v>
      </c>
      <c r="J446" s="5" t="s">
        <v>14</v>
      </c>
      <c r="K446" s="22"/>
    </row>
    <row r="447" spans="2:11">
      <c r="B447" s="4" t="s">
        <v>78</v>
      </c>
      <c r="C447" s="5">
        <f>IF(B447&lt;&gt;"",VLOOKUP(B447,Projetos!E:F,2,0),"")</f>
        <v>14</v>
      </c>
      <c r="D447" s="5"/>
      <c r="E447" s="4" t="s">
        <v>65</v>
      </c>
      <c r="F447" s="69" t="s">
        <v>94</v>
      </c>
      <c r="G447" s="5" t="s">
        <v>66</v>
      </c>
      <c r="H447" s="10">
        <v>45378</v>
      </c>
      <c r="I447" s="21">
        <v>0.16666666666666666</v>
      </c>
      <c r="J447" s="5" t="s">
        <v>14</v>
      </c>
      <c r="K447" s="22"/>
    </row>
    <row r="448" spans="2:11">
      <c r="B448" s="4" t="s">
        <v>72</v>
      </c>
      <c r="C448" s="5">
        <f>IF(B448&lt;&gt;"",VLOOKUP(B448,Projetos!E:F,2,0),"")</f>
        <v>12</v>
      </c>
      <c r="D448" s="5"/>
      <c r="E448" s="4" t="s">
        <v>25</v>
      </c>
      <c r="F448" s="69" t="s">
        <v>80</v>
      </c>
      <c r="G448" s="5" t="s">
        <v>64</v>
      </c>
      <c r="H448" s="10">
        <v>45380</v>
      </c>
      <c r="I448" s="25">
        <v>6.25E-2</v>
      </c>
      <c r="J448" s="5" t="s">
        <v>14</v>
      </c>
      <c r="K448" s="22"/>
    </row>
    <row r="449" spans="2:11">
      <c r="B449" s="4" t="s">
        <v>72</v>
      </c>
      <c r="C449" s="5">
        <f>IF(B449&lt;&gt;"",VLOOKUP(B449,Projetos!E:F,2,0),"")</f>
        <v>12</v>
      </c>
      <c r="D449" s="5"/>
      <c r="E449" s="4" t="s">
        <v>23</v>
      </c>
      <c r="F449" s="69" t="s">
        <v>24</v>
      </c>
      <c r="G449" s="5" t="s">
        <v>66</v>
      </c>
      <c r="H449" s="10">
        <v>45379</v>
      </c>
      <c r="I449" s="25">
        <v>0.16666666666666666</v>
      </c>
      <c r="J449" s="5" t="s">
        <v>14</v>
      </c>
      <c r="K449" s="22"/>
    </row>
    <row r="450" spans="2:11">
      <c r="B450" s="4" t="s">
        <v>78</v>
      </c>
      <c r="C450" s="5">
        <f>IF(B450&lt;&gt;"",VLOOKUP(B450,Projetos!E:F,2,0),"")</f>
        <v>14</v>
      </c>
      <c r="D450" s="5"/>
      <c r="E450" s="4" t="s">
        <v>31</v>
      </c>
      <c r="F450" s="69" t="s">
        <v>77</v>
      </c>
      <c r="G450" s="5" t="s">
        <v>64</v>
      </c>
      <c r="H450" s="10">
        <v>45383</v>
      </c>
      <c r="I450" s="21">
        <v>0.25</v>
      </c>
      <c r="J450" s="5" t="s">
        <v>14</v>
      </c>
      <c r="K450" s="22"/>
    </row>
    <row r="451" spans="2:11">
      <c r="B451" s="4" t="s">
        <v>78</v>
      </c>
      <c r="C451" s="5">
        <f>IF(B451&lt;&gt;"",VLOOKUP(B451,Projetos!E:F,2,0),"")</f>
        <v>14</v>
      </c>
      <c r="D451" s="5"/>
      <c r="E451" s="4" t="s">
        <v>26</v>
      </c>
      <c r="F451" s="69" t="s">
        <v>95</v>
      </c>
      <c r="G451" s="5" t="s">
        <v>66</v>
      </c>
      <c r="H451" s="10">
        <v>45379</v>
      </c>
      <c r="I451" s="21">
        <v>0.125</v>
      </c>
      <c r="J451" s="5" t="s">
        <v>14</v>
      </c>
      <c r="K451" s="22"/>
    </row>
    <row r="452" spans="2:11">
      <c r="B452" s="4" t="s">
        <v>78</v>
      </c>
      <c r="C452" s="5">
        <f>IF(B452&lt;&gt;"",VLOOKUP(B452,Projetos!E:F,2,0),"")</f>
        <v>14</v>
      </c>
      <c r="D452" s="5"/>
      <c r="E452" s="4" t="s">
        <v>26</v>
      </c>
      <c r="F452" s="69" t="s">
        <v>95</v>
      </c>
      <c r="G452" s="5" t="s">
        <v>34</v>
      </c>
      <c r="H452" s="10">
        <v>45379</v>
      </c>
      <c r="I452" s="21">
        <v>0.125</v>
      </c>
      <c r="J452" s="5" t="s">
        <v>14</v>
      </c>
      <c r="K452" s="22"/>
    </row>
    <row r="453" spans="2:11">
      <c r="B453" s="4" t="s">
        <v>78</v>
      </c>
      <c r="C453" s="5">
        <f>IF(B453&lt;&gt;"",VLOOKUP(B453,Projetos!E:F,2,0),"")</f>
        <v>14</v>
      </c>
      <c r="D453" s="5"/>
      <c r="E453" s="4" t="s">
        <v>26</v>
      </c>
      <c r="F453" s="69" t="s">
        <v>95</v>
      </c>
      <c r="G453" s="5" t="s">
        <v>66</v>
      </c>
      <c r="H453" s="10">
        <v>45380</v>
      </c>
      <c r="I453" s="21">
        <v>8.3333333333333329E-2</v>
      </c>
      <c r="J453" s="5" t="s">
        <v>14</v>
      </c>
      <c r="K453" s="22"/>
    </row>
    <row r="454" spans="2:11">
      <c r="B454" s="4" t="s">
        <v>78</v>
      </c>
      <c r="C454" s="5">
        <f>IF(B454&lt;&gt;"",VLOOKUP(B454,Projetos!E:F,2,0),"")</f>
        <v>14</v>
      </c>
      <c r="D454" s="5"/>
      <c r="E454" s="4" t="s">
        <v>26</v>
      </c>
      <c r="F454" s="69" t="s">
        <v>95</v>
      </c>
      <c r="G454" s="5" t="s">
        <v>34</v>
      </c>
      <c r="H454" s="10">
        <v>45380</v>
      </c>
      <c r="I454" s="21">
        <v>8.3333333333333329E-2</v>
      </c>
      <c r="J454" s="5" t="s">
        <v>14</v>
      </c>
      <c r="K454" s="22"/>
    </row>
    <row r="455" spans="2:11">
      <c r="B455" s="4" t="s">
        <v>78</v>
      </c>
      <c r="C455" s="5">
        <f>IF(B455&lt;&gt;"",VLOOKUP(B455,Projetos!E:F,2,0),"")</f>
        <v>14</v>
      </c>
      <c r="D455" s="5"/>
      <c r="E455" s="4" t="s">
        <v>31</v>
      </c>
      <c r="F455" s="69" t="s">
        <v>77</v>
      </c>
      <c r="G455" s="5" t="s">
        <v>66</v>
      </c>
      <c r="H455" s="10">
        <v>45383</v>
      </c>
      <c r="I455" s="21">
        <v>0.25</v>
      </c>
      <c r="J455" s="5" t="s">
        <v>14</v>
      </c>
      <c r="K455" s="22"/>
    </row>
    <row r="456" spans="2:11">
      <c r="B456" s="4" t="s">
        <v>78</v>
      </c>
      <c r="C456" s="5">
        <f>IF(B456&lt;&gt;"",VLOOKUP(B456,Projetos!E:F,2,0),"")</f>
        <v>14</v>
      </c>
      <c r="D456" s="5"/>
      <c r="E456" s="4" t="s">
        <v>23</v>
      </c>
      <c r="F456" s="69" t="s">
        <v>96</v>
      </c>
      <c r="G456" s="5" t="s">
        <v>64</v>
      </c>
      <c r="H456" s="10">
        <v>45384</v>
      </c>
      <c r="I456" s="21">
        <v>0.29166666666666669</v>
      </c>
      <c r="J456" s="5" t="s">
        <v>14</v>
      </c>
      <c r="K456" s="22"/>
    </row>
    <row r="457" spans="2:11">
      <c r="B457" s="4" t="s">
        <v>78</v>
      </c>
      <c r="C457" s="5">
        <f>IF(B457&lt;&gt;"",VLOOKUP(B457,Projetos!E:F,2,0),"")</f>
        <v>14</v>
      </c>
      <c r="D457" s="5"/>
      <c r="E457" s="4" t="s">
        <v>31</v>
      </c>
      <c r="F457" s="69" t="s">
        <v>77</v>
      </c>
      <c r="G457" s="5" t="s">
        <v>66</v>
      </c>
      <c r="H457" s="10">
        <v>45383</v>
      </c>
      <c r="I457" s="21">
        <v>8.3333333333333329E-2</v>
      </c>
      <c r="J457" s="5" t="s">
        <v>14</v>
      </c>
      <c r="K457" s="22"/>
    </row>
    <row r="458" spans="2:11">
      <c r="B458" s="4" t="s">
        <v>78</v>
      </c>
      <c r="C458" s="5">
        <f>IF(B458&lt;&gt;"",VLOOKUP(B458,Projetos!E:F,2,0),"")</f>
        <v>14</v>
      </c>
      <c r="D458" s="5"/>
      <c r="E458" s="4" t="s">
        <v>40</v>
      </c>
      <c r="F458" s="69" t="s">
        <v>97</v>
      </c>
      <c r="G458" s="5" t="s">
        <v>66</v>
      </c>
      <c r="H458" s="10">
        <v>45386</v>
      </c>
      <c r="I458" s="21">
        <v>0.25</v>
      </c>
      <c r="J458" s="5" t="s">
        <v>14</v>
      </c>
      <c r="K458" s="22"/>
    </row>
    <row r="459" spans="2:11">
      <c r="B459" s="4" t="s">
        <v>78</v>
      </c>
      <c r="C459" s="5">
        <f>IF(B459&lt;&gt;"",VLOOKUP(B459,Projetos!E:F,2,0),"")</f>
        <v>14</v>
      </c>
      <c r="D459" s="5"/>
      <c r="E459" s="4" t="s">
        <v>23</v>
      </c>
      <c r="F459" s="69" t="s">
        <v>96</v>
      </c>
      <c r="G459" s="5" t="s">
        <v>64</v>
      </c>
      <c r="H459" s="10">
        <v>45385</v>
      </c>
      <c r="I459" s="21">
        <v>0.29166666666666669</v>
      </c>
      <c r="J459" s="5" t="s">
        <v>14</v>
      </c>
      <c r="K459" s="22"/>
    </row>
    <row r="460" spans="2:11">
      <c r="B460" s="4" t="s">
        <v>78</v>
      </c>
      <c r="C460" s="5">
        <f>IF(B460&lt;&gt;"",VLOOKUP(B460,Projetos!E:F,2,0),"")</f>
        <v>14</v>
      </c>
      <c r="D460" s="5"/>
      <c r="E460" s="4" t="s">
        <v>23</v>
      </c>
      <c r="F460" s="69" t="s">
        <v>96</v>
      </c>
      <c r="G460" s="5" t="s">
        <v>64</v>
      </c>
      <c r="H460" s="10">
        <v>45386</v>
      </c>
      <c r="I460" s="21">
        <v>8.3333333333333329E-2</v>
      </c>
      <c r="J460" s="5" t="s">
        <v>14</v>
      </c>
      <c r="K460" s="22"/>
    </row>
    <row r="461" spans="2:11">
      <c r="B461" s="4" t="s">
        <v>78</v>
      </c>
      <c r="C461" s="5">
        <f>IF(B461&lt;&gt;"",VLOOKUP(B461,Projetos!E:F,2,0),"")</f>
        <v>14</v>
      </c>
      <c r="D461" s="5"/>
      <c r="E461" s="4" t="s">
        <v>25</v>
      </c>
      <c r="F461" s="69" t="s">
        <v>98</v>
      </c>
      <c r="G461" s="5" t="s">
        <v>64</v>
      </c>
      <c r="H461" s="10">
        <v>45390</v>
      </c>
      <c r="I461" s="21">
        <v>8.3333333333333329E-2</v>
      </c>
      <c r="J461" s="5" t="s">
        <v>14</v>
      </c>
      <c r="K461" s="22"/>
    </row>
    <row r="462" spans="2:11">
      <c r="B462" s="4" t="s">
        <v>78</v>
      </c>
      <c r="C462" s="5">
        <f>IF(B462&lt;&gt;"",VLOOKUP(B462,Projetos!E:F,2,0),"")</f>
        <v>14</v>
      </c>
      <c r="D462" s="5"/>
      <c r="E462" s="4" t="s">
        <v>40</v>
      </c>
      <c r="F462" s="69" t="s">
        <v>97</v>
      </c>
      <c r="G462" s="5" t="s">
        <v>66</v>
      </c>
      <c r="H462" s="10">
        <v>45387</v>
      </c>
      <c r="I462" s="21">
        <v>0.25</v>
      </c>
      <c r="J462" s="5" t="s">
        <v>14</v>
      </c>
      <c r="K462" s="22"/>
    </row>
    <row r="463" spans="2:11">
      <c r="B463" s="4" t="s">
        <v>78</v>
      </c>
      <c r="C463" s="5">
        <f>IF(B463&lt;&gt;"",VLOOKUP(B463,Projetos!E:F,2,0),"")</f>
        <v>14</v>
      </c>
      <c r="D463" s="5"/>
      <c r="E463" s="4" t="s">
        <v>40</v>
      </c>
      <c r="F463" s="69" t="s">
        <v>97</v>
      </c>
      <c r="G463" s="5" t="s">
        <v>66</v>
      </c>
      <c r="H463" s="10">
        <v>45390</v>
      </c>
      <c r="I463" s="21">
        <v>8.3333333333333329E-2</v>
      </c>
      <c r="J463" s="5" t="s">
        <v>14</v>
      </c>
      <c r="K463" s="22"/>
    </row>
    <row r="464" spans="2:11">
      <c r="B464" s="4" t="s">
        <v>78</v>
      </c>
      <c r="C464" s="5">
        <f>IF(B464&lt;&gt;"",VLOOKUP(B464,Projetos!E:F,2,0),"")</f>
        <v>14</v>
      </c>
      <c r="D464" s="5"/>
      <c r="E464" s="4" t="s">
        <v>25</v>
      </c>
      <c r="F464" s="69" t="s">
        <v>98</v>
      </c>
      <c r="G464" s="5" t="s">
        <v>66</v>
      </c>
      <c r="H464" s="10">
        <v>45390</v>
      </c>
      <c r="I464" s="21">
        <v>4.1666666666666664E-2</v>
      </c>
      <c r="J464" s="5" t="s">
        <v>14</v>
      </c>
      <c r="K464" s="22"/>
    </row>
    <row r="465" spans="2:11">
      <c r="B465" s="4" t="s">
        <v>99</v>
      </c>
      <c r="C465" s="5">
        <f>IF(B465&lt;&gt;"",VLOOKUP(B465,Projetos!E:F,2,0),"")</f>
        <v>17</v>
      </c>
      <c r="D465" s="5"/>
      <c r="E465" s="4" t="s">
        <v>16</v>
      </c>
      <c r="F465" s="69" t="s">
        <v>17</v>
      </c>
      <c r="G465" s="5" t="s">
        <v>64</v>
      </c>
      <c r="H465" s="10">
        <v>45390</v>
      </c>
      <c r="I465" s="21">
        <v>0.10416666666666667</v>
      </c>
      <c r="J465" s="5" t="s">
        <v>14</v>
      </c>
      <c r="K465" s="22"/>
    </row>
    <row r="466" spans="2:11">
      <c r="B466" s="4" t="s">
        <v>99</v>
      </c>
      <c r="C466" s="5">
        <f>IF(B466&lt;&gt;"",VLOOKUP(B466,Projetos!E:F,2,0),"")</f>
        <v>17</v>
      </c>
      <c r="D466" s="5"/>
      <c r="E466" s="4" t="s">
        <v>16</v>
      </c>
      <c r="F466" s="69" t="s">
        <v>17</v>
      </c>
      <c r="G466" s="5" t="s">
        <v>66</v>
      </c>
      <c r="H466" s="10">
        <v>45390</v>
      </c>
      <c r="I466" s="21">
        <v>0.10416666666666667</v>
      </c>
      <c r="J466" s="5" t="s">
        <v>14</v>
      </c>
      <c r="K466" s="22"/>
    </row>
    <row r="467" spans="2:11">
      <c r="B467" s="4" t="s">
        <v>78</v>
      </c>
      <c r="C467" s="5">
        <f>IF(B467&lt;&gt;"",VLOOKUP(B467,Projetos!E:F,2,0),"")</f>
        <v>14</v>
      </c>
      <c r="D467" s="5"/>
      <c r="E467" s="4" t="s">
        <v>25</v>
      </c>
      <c r="F467" s="69" t="s">
        <v>98</v>
      </c>
      <c r="G467" s="5" t="s">
        <v>20</v>
      </c>
      <c r="H467" s="10">
        <v>45390</v>
      </c>
      <c r="I467" s="21">
        <v>4.1666666666666664E-2</v>
      </c>
      <c r="J467" s="5" t="s">
        <v>14</v>
      </c>
      <c r="K467" s="22"/>
    </row>
    <row r="468" spans="2:11">
      <c r="B468" s="4" t="s">
        <v>99</v>
      </c>
      <c r="C468" s="5">
        <f>IF(B468&lt;&gt;"",VLOOKUP(B468,Projetos!E:F,2,0),"")</f>
        <v>17</v>
      </c>
      <c r="D468" s="5"/>
      <c r="E468" s="4" t="s">
        <v>21</v>
      </c>
      <c r="F468" s="69" t="s">
        <v>100</v>
      </c>
      <c r="G468" s="5" t="s">
        <v>64</v>
      </c>
      <c r="H468" s="10">
        <v>45390</v>
      </c>
      <c r="I468" s="21">
        <v>0.10416666666666667</v>
      </c>
      <c r="J468" s="5" t="s">
        <v>14</v>
      </c>
      <c r="K468" s="22"/>
    </row>
    <row r="469" spans="2:11">
      <c r="B469" s="4" t="s">
        <v>99</v>
      </c>
      <c r="C469" s="5">
        <f>IF(B469&lt;&gt;"",VLOOKUP(B469,Projetos!E:F,2,0),"")</f>
        <v>17</v>
      </c>
      <c r="D469" s="5"/>
      <c r="E469" s="4" t="s">
        <v>21</v>
      </c>
      <c r="F469" s="69" t="s">
        <v>100</v>
      </c>
      <c r="G469" s="5" t="s">
        <v>66</v>
      </c>
      <c r="H469" s="10">
        <v>45390</v>
      </c>
      <c r="I469" s="21">
        <v>0.10416666666666667</v>
      </c>
      <c r="J469" s="5" t="s">
        <v>14</v>
      </c>
      <c r="K469" s="22"/>
    </row>
    <row r="470" spans="2:11">
      <c r="B470" s="4" t="s">
        <v>61</v>
      </c>
      <c r="C470" s="5">
        <f>IF(B470&lt;&gt;"",VLOOKUP(B470,Projetos!E:F,2,0),"")</f>
        <v>11</v>
      </c>
      <c r="D470" s="5"/>
      <c r="E470" s="4" t="s">
        <v>16</v>
      </c>
      <c r="F470" s="69" t="s">
        <v>84</v>
      </c>
      <c r="G470" s="5" t="s">
        <v>64</v>
      </c>
      <c r="H470" s="10">
        <v>45394</v>
      </c>
      <c r="I470" s="25">
        <v>8.3333333333333329E-2</v>
      </c>
      <c r="J470" s="5" t="s">
        <v>14</v>
      </c>
      <c r="K470" s="22"/>
    </row>
    <row r="471" spans="2:11">
      <c r="B471" s="4" t="s">
        <v>61</v>
      </c>
      <c r="C471" s="5">
        <f>IF(B471&lt;&gt;"",VLOOKUP(B471,Projetos!E:F,2,0),"")</f>
        <v>11</v>
      </c>
      <c r="D471" s="5"/>
      <c r="E471" s="4" t="s">
        <v>16</v>
      </c>
      <c r="F471" s="69" t="s">
        <v>84</v>
      </c>
      <c r="G471" s="5" t="s">
        <v>66</v>
      </c>
      <c r="H471" s="10">
        <v>45394</v>
      </c>
      <c r="I471" s="25">
        <v>4.1666666666666664E-2</v>
      </c>
      <c r="J471" s="5" t="s">
        <v>14</v>
      </c>
      <c r="K471" s="22"/>
    </row>
    <row r="472" spans="2:11">
      <c r="B472" s="4" t="s">
        <v>99</v>
      </c>
      <c r="C472" s="5">
        <f>IF(B472&lt;&gt;"",VLOOKUP(B472,Projetos!E:F,2,0),"")</f>
        <v>17</v>
      </c>
      <c r="D472" s="5"/>
      <c r="E472" s="4" t="s">
        <v>26</v>
      </c>
      <c r="F472" s="69" t="s">
        <v>101</v>
      </c>
      <c r="G472" s="5" t="s">
        <v>34</v>
      </c>
      <c r="H472" s="10">
        <v>45391</v>
      </c>
      <c r="I472" s="21">
        <v>0.14583333333333334</v>
      </c>
      <c r="J472" s="5" t="s">
        <v>14</v>
      </c>
      <c r="K472" s="22"/>
    </row>
    <row r="473" spans="2:11">
      <c r="B473" s="4" t="s">
        <v>99</v>
      </c>
      <c r="C473" s="5">
        <f>IF(B473&lt;&gt;"",VLOOKUP(B473,Projetos!E:F,2,0),"")</f>
        <v>17</v>
      </c>
      <c r="D473" s="5"/>
      <c r="E473" s="4" t="s">
        <v>26</v>
      </c>
      <c r="F473" s="69" t="s">
        <v>101</v>
      </c>
      <c r="G473" s="5" t="s">
        <v>34</v>
      </c>
      <c r="H473" s="10">
        <v>45392</v>
      </c>
      <c r="I473" s="21">
        <v>0.14583333333333334</v>
      </c>
      <c r="J473" s="5" t="s">
        <v>14</v>
      </c>
      <c r="K473" s="22"/>
    </row>
    <row r="474" spans="2:11">
      <c r="B474" s="4" t="s">
        <v>99</v>
      </c>
      <c r="C474" s="5">
        <f>IF(B474&lt;&gt;"",VLOOKUP(B474,Projetos!E:F,2,0),"")</f>
        <v>17</v>
      </c>
      <c r="D474" s="5"/>
      <c r="E474" s="4" t="s">
        <v>31</v>
      </c>
      <c r="F474" s="69" t="s">
        <v>77</v>
      </c>
      <c r="G474" s="5" t="s">
        <v>34</v>
      </c>
      <c r="H474" s="10">
        <v>45393</v>
      </c>
      <c r="I474" s="21">
        <v>8.3333333333333329E-2</v>
      </c>
      <c r="J474" s="5" t="s">
        <v>14</v>
      </c>
      <c r="K474" s="22"/>
    </row>
    <row r="475" spans="2:11">
      <c r="B475" s="4" t="s">
        <v>99</v>
      </c>
      <c r="C475" s="5">
        <f>IF(B475&lt;&gt;"",VLOOKUP(B475,Projetos!E:F,2,0),"")</f>
        <v>17</v>
      </c>
      <c r="D475" s="5"/>
      <c r="E475" s="4" t="s">
        <v>40</v>
      </c>
      <c r="F475" s="69" t="s">
        <v>102</v>
      </c>
      <c r="G475" s="5" t="s">
        <v>66</v>
      </c>
      <c r="H475" s="10">
        <v>45394</v>
      </c>
      <c r="I475" s="21">
        <v>0.16666666666666666</v>
      </c>
      <c r="J475" s="5" t="s">
        <v>14</v>
      </c>
      <c r="K475" s="22"/>
    </row>
    <row r="476" spans="2:11">
      <c r="B476" s="4" t="s">
        <v>99</v>
      </c>
      <c r="C476" s="5">
        <f>IF(B476&lt;&gt;"",VLOOKUP(B476,Projetos!E:F,2,0),"")</f>
        <v>17</v>
      </c>
      <c r="D476" s="5"/>
      <c r="E476" s="4" t="s">
        <v>40</v>
      </c>
      <c r="F476" s="69" t="s">
        <v>102</v>
      </c>
      <c r="G476" s="5" t="s">
        <v>66</v>
      </c>
      <c r="H476" s="10">
        <v>45397</v>
      </c>
      <c r="I476" s="21">
        <v>0.16666666666666666</v>
      </c>
      <c r="J476" s="5" t="s">
        <v>14</v>
      </c>
      <c r="K476" s="22"/>
    </row>
    <row r="477" spans="2:11">
      <c r="B477" s="4" t="s">
        <v>99</v>
      </c>
      <c r="C477" s="5">
        <f>IF(B477&lt;&gt;"",VLOOKUP(B477,Projetos!E:F,2,0),"")</f>
        <v>17</v>
      </c>
      <c r="D477" s="5"/>
      <c r="E477" s="4" t="s">
        <v>40</v>
      </c>
      <c r="F477" s="69" t="s">
        <v>102</v>
      </c>
      <c r="G477" s="5" t="s">
        <v>66</v>
      </c>
      <c r="H477" s="10">
        <v>45398</v>
      </c>
      <c r="I477" s="21">
        <v>0.16666666666666666</v>
      </c>
      <c r="J477" s="5" t="s">
        <v>14</v>
      </c>
      <c r="K477" s="22"/>
    </row>
    <row r="478" spans="2:11">
      <c r="B478" s="4" t="s">
        <v>99</v>
      </c>
      <c r="C478" s="5">
        <f>IF(B478&lt;&gt;"",VLOOKUP(B478,Projetos!E:F,2,0),"")</f>
        <v>17</v>
      </c>
      <c r="D478" s="5"/>
      <c r="E478" s="4" t="s">
        <v>40</v>
      </c>
      <c r="F478" s="69" t="s">
        <v>102</v>
      </c>
      <c r="G478" s="5" t="s">
        <v>66</v>
      </c>
      <c r="H478" s="10">
        <v>45399</v>
      </c>
      <c r="I478" s="21">
        <v>0.16666666666666666</v>
      </c>
      <c r="J478" s="5" t="s">
        <v>14</v>
      </c>
      <c r="K478" s="22"/>
    </row>
    <row r="479" spans="2:11">
      <c r="B479" s="4" t="s">
        <v>99</v>
      </c>
      <c r="C479" s="5">
        <f>IF(B479&lt;&gt;"",VLOOKUP(B479,Projetos!E:F,2,0),"")</f>
        <v>17</v>
      </c>
      <c r="D479" s="5"/>
      <c r="E479" s="4" t="s">
        <v>23</v>
      </c>
      <c r="F479" s="69" t="s">
        <v>24</v>
      </c>
      <c r="G479" s="5" t="s">
        <v>64</v>
      </c>
      <c r="H479" s="10">
        <v>45399</v>
      </c>
      <c r="I479" s="21">
        <v>8.3333333333333329E-2</v>
      </c>
      <c r="J479" s="5" t="s">
        <v>14</v>
      </c>
      <c r="K479" s="22"/>
    </row>
    <row r="480" spans="2:11">
      <c r="B480" s="4" t="s">
        <v>99</v>
      </c>
      <c r="C480" s="5">
        <f>IF(B480&lt;&gt;"",VLOOKUP(B480,Projetos!E:F,2,0),"")</f>
        <v>17</v>
      </c>
      <c r="D480" s="5"/>
      <c r="E480" s="4" t="s">
        <v>49</v>
      </c>
      <c r="F480" s="69" t="s">
        <v>103</v>
      </c>
      <c r="G480" s="5" t="s">
        <v>66</v>
      </c>
      <c r="H480" s="10">
        <v>45400</v>
      </c>
      <c r="I480" s="21">
        <v>0.25</v>
      </c>
      <c r="J480" s="5" t="s">
        <v>14</v>
      </c>
      <c r="K480" s="22"/>
    </row>
    <row r="481" spans="2:11">
      <c r="B481" s="4" t="s">
        <v>99</v>
      </c>
      <c r="C481" s="5">
        <f>IF(B481&lt;&gt;"",VLOOKUP(B481,Projetos!E:F,2,0),"")</f>
        <v>17</v>
      </c>
      <c r="D481" s="5"/>
      <c r="E481" s="4" t="s">
        <v>49</v>
      </c>
      <c r="F481" s="69" t="s">
        <v>103</v>
      </c>
      <c r="G481" s="5" t="s">
        <v>66</v>
      </c>
      <c r="H481" s="10">
        <v>45401</v>
      </c>
      <c r="I481" s="21">
        <v>0.25</v>
      </c>
      <c r="J481" s="5" t="s">
        <v>14</v>
      </c>
      <c r="K481" s="22"/>
    </row>
    <row r="482" spans="2:11">
      <c r="B482" s="4" t="s">
        <v>99</v>
      </c>
      <c r="C482" s="5">
        <f>IF(B482&lt;&gt;"",VLOOKUP(B482,Projetos!E:F,2,0),"")</f>
        <v>17</v>
      </c>
      <c r="D482" s="5"/>
      <c r="E482" s="4" t="s">
        <v>49</v>
      </c>
      <c r="F482" s="69" t="s">
        <v>103</v>
      </c>
      <c r="G482" s="5" t="s">
        <v>66</v>
      </c>
      <c r="H482" s="10">
        <v>45404</v>
      </c>
      <c r="I482" s="21">
        <v>0.25</v>
      </c>
      <c r="J482" s="5" t="s">
        <v>14</v>
      </c>
      <c r="K482" s="22"/>
    </row>
    <row r="483" spans="2:11">
      <c r="B483" s="4" t="s">
        <v>99</v>
      </c>
      <c r="C483" s="5">
        <f>IF(B483&lt;&gt;"",VLOOKUP(B483,Projetos!E:F,2,0),"")</f>
        <v>17</v>
      </c>
      <c r="D483" s="5"/>
      <c r="E483" s="4" t="s">
        <v>49</v>
      </c>
      <c r="F483" s="69" t="s">
        <v>103</v>
      </c>
      <c r="G483" s="5" t="s">
        <v>66</v>
      </c>
      <c r="H483" s="10">
        <v>45405</v>
      </c>
      <c r="I483" s="21">
        <v>0.25</v>
      </c>
      <c r="J483" s="5" t="s">
        <v>14</v>
      </c>
      <c r="K483" s="22"/>
    </row>
    <row r="484" spans="2:11">
      <c r="B484" s="4" t="s">
        <v>99</v>
      </c>
      <c r="C484" s="5">
        <f>IF(B484&lt;&gt;"",VLOOKUP(B484,Projetos!E:F,2,0),"")</f>
        <v>17</v>
      </c>
      <c r="D484" s="5"/>
      <c r="E484" s="4" t="s">
        <v>49</v>
      </c>
      <c r="F484" s="69" t="s">
        <v>103</v>
      </c>
      <c r="G484" s="5" t="s">
        <v>66</v>
      </c>
      <c r="H484" s="10">
        <v>45406</v>
      </c>
      <c r="I484" s="21">
        <v>0.25</v>
      </c>
      <c r="J484" s="5" t="s">
        <v>14</v>
      </c>
      <c r="K484" s="22"/>
    </row>
    <row r="485" spans="2:11">
      <c r="B485" s="4" t="s">
        <v>99</v>
      </c>
      <c r="C485" s="5">
        <f>IF(B485&lt;&gt;"",VLOOKUP(B485,Projetos!E:F,2,0),"")</f>
        <v>17</v>
      </c>
      <c r="D485" s="5"/>
      <c r="E485" s="4" t="s">
        <v>49</v>
      </c>
      <c r="F485" s="69" t="s">
        <v>103</v>
      </c>
      <c r="G485" s="5" t="s">
        <v>66</v>
      </c>
      <c r="H485" s="10">
        <v>45407</v>
      </c>
      <c r="I485" s="21">
        <v>0.25</v>
      </c>
      <c r="J485" s="5" t="s">
        <v>14</v>
      </c>
      <c r="K485" s="22"/>
    </row>
    <row r="486" spans="2:11">
      <c r="B486" s="4" t="s">
        <v>99</v>
      </c>
      <c r="C486" s="5">
        <f>IF(B486&lt;&gt;"",VLOOKUP(B486,Projetos!E:F,2,0),"")</f>
        <v>17</v>
      </c>
      <c r="D486" s="5"/>
      <c r="E486" s="4" t="s">
        <v>49</v>
      </c>
      <c r="F486" s="69" t="s">
        <v>103</v>
      </c>
      <c r="G486" s="5" t="s">
        <v>66</v>
      </c>
      <c r="H486" s="10">
        <v>45408</v>
      </c>
      <c r="I486" s="21">
        <v>0.25</v>
      </c>
      <c r="J486" s="5" t="s">
        <v>14</v>
      </c>
      <c r="K486" s="22"/>
    </row>
    <row r="487" spans="2:11">
      <c r="B487" s="4" t="s">
        <v>99</v>
      </c>
      <c r="C487" s="5">
        <f>IF(B487&lt;&gt;"",VLOOKUP(B487,Projetos!E:F,2,0),"")</f>
        <v>17</v>
      </c>
      <c r="D487" s="5"/>
      <c r="E487" s="4" t="s">
        <v>49</v>
      </c>
      <c r="F487" s="69" t="s">
        <v>103</v>
      </c>
      <c r="G487" s="5" t="s">
        <v>66</v>
      </c>
      <c r="H487" s="10">
        <v>45411</v>
      </c>
      <c r="I487" s="21">
        <v>0.25</v>
      </c>
      <c r="J487" s="5" t="s">
        <v>14</v>
      </c>
      <c r="K487" s="22"/>
    </row>
    <row r="488" spans="2:11">
      <c r="B488" s="4" t="s">
        <v>99</v>
      </c>
      <c r="C488" s="5">
        <f>IF(B488&lt;&gt;"",VLOOKUP(B488,Projetos!E:F,2,0),"")</f>
        <v>17</v>
      </c>
      <c r="D488" s="5"/>
      <c r="E488" s="4" t="s">
        <v>49</v>
      </c>
      <c r="F488" s="69" t="s">
        <v>103</v>
      </c>
      <c r="G488" s="5" t="s">
        <v>66</v>
      </c>
      <c r="H488" s="10">
        <v>45412</v>
      </c>
      <c r="I488" s="21">
        <v>8.3333333333333329E-2</v>
      </c>
      <c r="J488" s="5" t="s">
        <v>14</v>
      </c>
      <c r="K488" s="22"/>
    </row>
    <row r="489" spans="2:11">
      <c r="B489" s="4" t="s">
        <v>104</v>
      </c>
      <c r="C489" s="5">
        <f>IF(B489&lt;&gt;"",VLOOKUP(B489,Projetos!E:F,2,0),"")</f>
        <v>28</v>
      </c>
      <c r="D489" s="5"/>
      <c r="E489" s="4" t="s">
        <v>11</v>
      </c>
      <c r="F489" s="69" t="s">
        <v>105</v>
      </c>
      <c r="G489" s="5" t="s">
        <v>64</v>
      </c>
      <c r="H489" s="10">
        <v>45413</v>
      </c>
      <c r="I489" s="21">
        <v>0.20833333333333334</v>
      </c>
      <c r="J489" s="5" t="s">
        <v>14</v>
      </c>
      <c r="K489" s="22"/>
    </row>
    <row r="490" spans="2:11">
      <c r="B490" s="4" t="s">
        <v>104</v>
      </c>
      <c r="C490" s="5">
        <f>IF(B490&lt;&gt;"",VLOOKUP(B490,Projetos!E:F,2,0),"")</f>
        <v>28</v>
      </c>
      <c r="D490" s="5"/>
      <c r="E490" s="4" t="s">
        <v>11</v>
      </c>
      <c r="F490" s="69" t="s">
        <v>105</v>
      </c>
      <c r="G490" s="5" t="s">
        <v>66</v>
      </c>
      <c r="H490" s="10">
        <v>45413</v>
      </c>
      <c r="I490" s="21">
        <v>0.20833333333333334</v>
      </c>
      <c r="J490" s="5" t="s">
        <v>14</v>
      </c>
      <c r="K490" s="22"/>
    </row>
    <row r="491" spans="2:11">
      <c r="B491" s="4" t="s">
        <v>104</v>
      </c>
      <c r="C491" s="5">
        <f>IF(B491&lt;&gt;"",VLOOKUP(B491,Projetos!E:F,2,0),"")</f>
        <v>28</v>
      </c>
      <c r="D491" s="5"/>
      <c r="E491" s="4" t="s">
        <v>65</v>
      </c>
      <c r="F491" s="69" t="s">
        <v>106</v>
      </c>
      <c r="G491" s="5" t="s">
        <v>64</v>
      </c>
      <c r="H491" s="10">
        <v>45414</v>
      </c>
      <c r="I491" s="21">
        <v>0.20833333333333334</v>
      </c>
      <c r="J491" s="5" t="s">
        <v>14</v>
      </c>
      <c r="K491" s="22"/>
    </row>
    <row r="492" spans="2:11">
      <c r="B492" s="4" t="s">
        <v>104</v>
      </c>
      <c r="C492" s="5">
        <f>IF(B492&lt;&gt;"",VLOOKUP(B492,Projetos!E:F,2,0),"")</f>
        <v>28</v>
      </c>
      <c r="D492" s="5"/>
      <c r="E492" s="4" t="s">
        <v>65</v>
      </c>
      <c r="F492" s="69" t="s">
        <v>106</v>
      </c>
      <c r="G492" s="5" t="s">
        <v>66</v>
      </c>
      <c r="H492" s="10">
        <v>45414</v>
      </c>
      <c r="I492" s="21">
        <v>0.20833333333333334</v>
      </c>
      <c r="J492" s="5" t="s">
        <v>14</v>
      </c>
      <c r="K492" s="22"/>
    </row>
    <row r="493" spans="2:11">
      <c r="B493" s="4" t="s">
        <v>104</v>
      </c>
      <c r="C493" s="5">
        <f>IF(B493&lt;&gt;"",VLOOKUP(B493,Projetos!E:F,2,0),"")</f>
        <v>28</v>
      </c>
      <c r="D493" s="5"/>
      <c r="E493" s="4" t="s">
        <v>31</v>
      </c>
      <c r="F493" s="69" t="s">
        <v>107</v>
      </c>
      <c r="G493" s="5" t="s">
        <v>66</v>
      </c>
      <c r="H493" s="10">
        <v>45415</v>
      </c>
      <c r="I493" s="21">
        <v>0.25</v>
      </c>
      <c r="J493" s="5" t="s">
        <v>14</v>
      </c>
      <c r="K493" s="22"/>
    </row>
    <row r="494" spans="2:11">
      <c r="B494" s="4" t="s">
        <v>104</v>
      </c>
      <c r="C494" s="5">
        <f>IF(B494&lt;&gt;"",VLOOKUP(B494,Projetos!E:F,2,0),"")</f>
        <v>28</v>
      </c>
      <c r="D494" s="5"/>
      <c r="E494" s="4" t="s">
        <v>31</v>
      </c>
      <c r="F494" s="69" t="s">
        <v>107</v>
      </c>
      <c r="G494" s="5" t="s">
        <v>66</v>
      </c>
      <c r="H494" s="10">
        <v>45418</v>
      </c>
      <c r="I494" s="21">
        <v>0.25</v>
      </c>
      <c r="J494" s="5" t="s">
        <v>14</v>
      </c>
      <c r="K494" s="22"/>
    </row>
    <row r="495" spans="2:11">
      <c r="B495" s="4" t="s">
        <v>104</v>
      </c>
      <c r="C495" s="5">
        <f>IF(B495&lt;&gt;"",VLOOKUP(B495,Projetos!E:F,2,0),"")</f>
        <v>28</v>
      </c>
      <c r="D495" s="5"/>
      <c r="E495" s="4" t="s">
        <v>31</v>
      </c>
      <c r="F495" s="69" t="s">
        <v>107</v>
      </c>
      <c r="G495" s="5" t="s">
        <v>66</v>
      </c>
      <c r="H495" s="10">
        <v>45419</v>
      </c>
      <c r="I495" s="21">
        <v>0.25</v>
      </c>
      <c r="J495" s="5" t="s">
        <v>14</v>
      </c>
      <c r="K495" s="22"/>
    </row>
    <row r="496" spans="2:11">
      <c r="B496" s="4" t="s">
        <v>104</v>
      </c>
      <c r="C496" s="5">
        <f>IF(B496&lt;&gt;"",VLOOKUP(B496,Projetos!E:F,2,0),"")</f>
        <v>28</v>
      </c>
      <c r="D496" s="5"/>
      <c r="E496" s="4" t="s">
        <v>31</v>
      </c>
      <c r="F496" s="69" t="s">
        <v>107</v>
      </c>
      <c r="G496" s="5" t="s">
        <v>66</v>
      </c>
      <c r="H496" s="10">
        <v>45420</v>
      </c>
      <c r="I496" s="21">
        <v>8.3333333333333329E-2</v>
      </c>
      <c r="J496" s="5" t="s">
        <v>14</v>
      </c>
      <c r="K496" s="22"/>
    </row>
    <row r="497" spans="2:11">
      <c r="B497" s="4" t="s">
        <v>104</v>
      </c>
      <c r="C497" s="5">
        <f>IF(B497&lt;&gt;"",VLOOKUP(B497,Projetos!E:F,2,0),"")</f>
        <v>28</v>
      </c>
      <c r="D497" s="5"/>
      <c r="E497" s="4" t="s">
        <v>23</v>
      </c>
      <c r="F497" s="69" t="s">
        <v>108</v>
      </c>
      <c r="G497" s="5" t="s">
        <v>64</v>
      </c>
      <c r="H497" s="10">
        <v>45415</v>
      </c>
      <c r="I497" s="21">
        <v>0.29166666666666669</v>
      </c>
      <c r="J497" s="5" t="s">
        <v>14</v>
      </c>
      <c r="K497" s="22"/>
    </row>
    <row r="498" spans="2:11">
      <c r="B498" s="4" t="s">
        <v>104</v>
      </c>
      <c r="C498" s="5">
        <f>IF(B498&lt;&gt;"",VLOOKUP(B498,Projetos!E:F,2,0),"")</f>
        <v>28</v>
      </c>
      <c r="D498" s="5"/>
      <c r="E498" s="4" t="s">
        <v>23</v>
      </c>
      <c r="F498" s="69" t="s">
        <v>108</v>
      </c>
      <c r="G498" s="5" t="s">
        <v>64</v>
      </c>
      <c r="H498" s="10">
        <v>45418</v>
      </c>
      <c r="I498" s="21">
        <v>0.29166666666666669</v>
      </c>
      <c r="J498" s="5" t="s">
        <v>14</v>
      </c>
      <c r="K498" s="22"/>
    </row>
    <row r="499" spans="2:11">
      <c r="B499" s="4" t="s">
        <v>104</v>
      </c>
      <c r="C499" s="5">
        <f>IF(B499&lt;&gt;"",VLOOKUP(B499,Projetos!E:F,2,0),"")</f>
        <v>28</v>
      </c>
      <c r="D499" s="5"/>
      <c r="E499" s="4" t="s">
        <v>23</v>
      </c>
      <c r="F499" s="69" t="s">
        <v>108</v>
      </c>
      <c r="G499" s="5" t="s">
        <v>64</v>
      </c>
      <c r="H499" s="10">
        <v>45419</v>
      </c>
      <c r="I499" s="21">
        <v>0.29166666666666669</v>
      </c>
      <c r="J499" s="5" t="s">
        <v>14</v>
      </c>
      <c r="K499" s="22"/>
    </row>
    <row r="500" spans="2:11">
      <c r="B500" s="4" t="s">
        <v>104</v>
      </c>
      <c r="C500" s="5">
        <f>IF(B500&lt;&gt;"",VLOOKUP(B500,Projetos!E:F,2,0),"")</f>
        <v>28</v>
      </c>
      <c r="D500" s="5"/>
      <c r="E500" s="4" t="s">
        <v>23</v>
      </c>
      <c r="F500" s="69" t="s">
        <v>108</v>
      </c>
      <c r="G500" s="5" t="s">
        <v>64</v>
      </c>
      <c r="H500" s="10">
        <v>45420</v>
      </c>
      <c r="I500" s="21">
        <v>0.29166666666666669</v>
      </c>
      <c r="J500" s="5" t="s">
        <v>14</v>
      </c>
      <c r="K500" s="22"/>
    </row>
    <row r="501" spans="2:11">
      <c r="B501" s="4" t="s">
        <v>104</v>
      </c>
      <c r="C501" s="5">
        <f>IF(B501&lt;&gt;"",VLOOKUP(B501,Projetos!E:F,2,0),"")</f>
        <v>28</v>
      </c>
      <c r="D501" s="5"/>
      <c r="E501" s="4" t="s">
        <v>23</v>
      </c>
      <c r="F501" s="69" t="s">
        <v>108</v>
      </c>
      <c r="G501" s="5" t="s">
        <v>64</v>
      </c>
      <c r="H501" s="10">
        <v>45421</v>
      </c>
      <c r="I501" s="21">
        <v>8.3333333333333329E-2</v>
      </c>
      <c r="J501" s="5" t="s">
        <v>14</v>
      </c>
      <c r="K501" s="22"/>
    </row>
    <row r="502" spans="2:11">
      <c r="B502" s="4" t="s">
        <v>104</v>
      </c>
      <c r="C502" s="5">
        <f>IF(B502&lt;&gt;"",VLOOKUP(B502,Projetos!E:F,2,0),"")</f>
        <v>28</v>
      </c>
      <c r="D502" s="5"/>
      <c r="E502" s="4" t="s">
        <v>49</v>
      </c>
      <c r="F502" s="69" t="s">
        <v>108</v>
      </c>
      <c r="G502" s="5" t="s">
        <v>64</v>
      </c>
      <c r="H502" s="10">
        <v>45422</v>
      </c>
      <c r="I502" s="21">
        <v>0.20833333333333334</v>
      </c>
      <c r="J502" s="5" t="s">
        <v>14</v>
      </c>
      <c r="K502" s="22"/>
    </row>
    <row r="503" spans="2:11">
      <c r="B503" s="4" t="s">
        <v>104</v>
      </c>
      <c r="C503" s="5">
        <f>IF(B503&lt;&gt;"",VLOOKUP(B503,Projetos!E:F,2,0),"")</f>
        <v>28</v>
      </c>
      <c r="D503" s="5"/>
      <c r="E503" s="4" t="s">
        <v>49</v>
      </c>
      <c r="F503" s="69" t="s">
        <v>108</v>
      </c>
      <c r="G503" s="5" t="s">
        <v>66</v>
      </c>
      <c r="H503" s="10">
        <v>45422</v>
      </c>
      <c r="I503" s="21">
        <v>0.20833333333333334</v>
      </c>
      <c r="J503" s="5" t="s">
        <v>14</v>
      </c>
      <c r="K503" s="22"/>
    </row>
    <row r="504" spans="2:11">
      <c r="B504" s="4" t="s">
        <v>109</v>
      </c>
      <c r="C504" s="5">
        <f>IF(B504&lt;&gt;"",VLOOKUP(B504,Projetos!E:F,2,0),"")</f>
        <v>29</v>
      </c>
      <c r="D504" s="5"/>
      <c r="E504" s="4" t="s">
        <v>11</v>
      </c>
      <c r="F504" s="69" t="s">
        <v>110</v>
      </c>
      <c r="G504" s="5" t="s">
        <v>64</v>
      </c>
      <c r="H504" s="10">
        <v>45425</v>
      </c>
      <c r="I504" s="21">
        <v>0.10416666666666667</v>
      </c>
      <c r="J504" s="5" t="s">
        <v>14</v>
      </c>
      <c r="K504" s="22"/>
    </row>
    <row r="505" spans="2:11">
      <c r="B505" s="4" t="s">
        <v>109</v>
      </c>
      <c r="C505" s="5">
        <f>IF(B505&lt;&gt;"",VLOOKUP(B505,Projetos!E:F,2,0),"")</f>
        <v>29</v>
      </c>
      <c r="D505" s="5"/>
      <c r="E505" s="4" t="s">
        <v>11</v>
      </c>
      <c r="F505" s="69" t="s">
        <v>110</v>
      </c>
      <c r="G505" s="5" t="s">
        <v>66</v>
      </c>
      <c r="H505" s="10">
        <v>45425</v>
      </c>
      <c r="I505" s="21">
        <v>0.10416666666666667</v>
      </c>
      <c r="J505" s="5" t="s">
        <v>14</v>
      </c>
      <c r="K505" s="22"/>
    </row>
    <row r="506" spans="2:11">
      <c r="B506" s="4" t="s">
        <v>109</v>
      </c>
      <c r="C506" s="5">
        <f>IF(B506&lt;&gt;"",VLOOKUP(B506,Projetos!E:F,2,0),"")</f>
        <v>29</v>
      </c>
      <c r="D506" s="5"/>
      <c r="E506" s="4" t="s">
        <v>65</v>
      </c>
      <c r="F506" s="69" t="s">
        <v>111</v>
      </c>
      <c r="G506" s="5" t="s">
        <v>64</v>
      </c>
      <c r="H506" s="10">
        <v>45425</v>
      </c>
      <c r="I506" s="21">
        <v>0.10416666666666667</v>
      </c>
      <c r="J506" s="5" t="s">
        <v>14</v>
      </c>
      <c r="K506" s="22"/>
    </row>
    <row r="507" spans="2:11">
      <c r="B507" s="4" t="s">
        <v>109</v>
      </c>
      <c r="C507" s="5">
        <f>IF(B507&lt;&gt;"",VLOOKUP(B507,Projetos!E:F,2,0),"")</f>
        <v>29</v>
      </c>
      <c r="D507" s="5"/>
      <c r="E507" s="4" t="s">
        <v>65</v>
      </c>
      <c r="F507" s="69" t="s">
        <v>111</v>
      </c>
      <c r="G507" s="5" t="s">
        <v>66</v>
      </c>
      <c r="H507" s="10">
        <v>45425</v>
      </c>
      <c r="I507" s="21">
        <v>0.10416666666666667</v>
      </c>
      <c r="J507" s="5" t="s">
        <v>14</v>
      </c>
      <c r="K507" s="22"/>
    </row>
    <row r="508" spans="2:11" ht="30">
      <c r="B508" s="4" t="s">
        <v>109</v>
      </c>
      <c r="C508" s="5">
        <f>IF(B508&lt;&gt;"",VLOOKUP(B508,Projetos!E:F,2,0),"")</f>
        <v>29</v>
      </c>
      <c r="D508" s="5"/>
      <c r="E508" s="4" t="s">
        <v>31</v>
      </c>
      <c r="F508" s="69" t="s">
        <v>112</v>
      </c>
      <c r="G508" s="5" t="s">
        <v>64</v>
      </c>
      <c r="H508" s="10">
        <v>45426</v>
      </c>
      <c r="I508" s="21">
        <v>0.20833333333333334</v>
      </c>
      <c r="J508" s="5" t="s">
        <v>14</v>
      </c>
      <c r="K508" s="22"/>
    </row>
    <row r="509" spans="2:11" ht="30">
      <c r="B509" s="4" t="s">
        <v>109</v>
      </c>
      <c r="C509" s="5">
        <f>IF(B509&lt;&gt;"",VLOOKUP(B509,Projetos!E:F,2,0),"")</f>
        <v>29</v>
      </c>
      <c r="D509" s="5"/>
      <c r="E509" s="4" t="s">
        <v>31</v>
      </c>
      <c r="F509" s="69" t="s">
        <v>112</v>
      </c>
      <c r="G509" s="5" t="s">
        <v>66</v>
      </c>
      <c r="H509" s="10">
        <v>45426</v>
      </c>
      <c r="I509" s="21">
        <v>0.20833333333333334</v>
      </c>
      <c r="J509" s="5" t="s">
        <v>14</v>
      </c>
      <c r="K509" s="22"/>
    </row>
    <row r="510" spans="2:11" ht="30">
      <c r="B510" s="4" t="s">
        <v>109</v>
      </c>
      <c r="C510" s="5">
        <f>IF(B510&lt;&gt;"",VLOOKUP(B510,Projetos!E:F,2,0),"")</f>
        <v>29</v>
      </c>
      <c r="D510" s="5"/>
      <c r="E510" s="4" t="s">
        <v>31</v>
      </c>
      <c r="F510" s="69" t="s">
        <v>112</v>
      </c>
      <c r="G510" s="5" t="s">
        <v>64</v>
      </c>
      <c r="H510" s="10">
        <v>45427</v>
      </c>
      <c r="I510" s="21">
        <v>0.20833333333333334</v>
      </c>
      <c r="J510" s="5" t="s">
        <v>14</v>
      </c>
      <c r="K510" s="22"/>
    </row>
    <row r="511" spans="2:11" ht="30">
      <c r="B511" s="4" t="s">
        <v>109</v>
      </c>
      <c r="C511" s="5">
        <f>IF(B511&lt;&gt;"",VLOOKUP(B511,Projetos!E:F,2,0),"")</f>
        <v>29</v>
      </c>
      <c r="D511" s="5"/>
      <c r="E511" s="4" t="s">
        <v>31</v>
      </c>
      <c r="F511" s="69" t="s">
        <v>112</v>
      </c>
      <c r="G511" s="5" t="s">
        <v>66</v>
      </c>
      <c r="H511" s="10">
        <v>45427</v>
      </c>
      <c r="I511" s="21">
        <v>0.20833333333333334</v>
      </c>
      <c r="J511" s="5" t="s">
        <v>14</v>
      </c>
      <c r="K511" s="22"/>
    </row>
    <row r="512" spans="2:11">
      <c r="B512" s="4" t="s">
        <v>109</v>
      </c>
      <c r="C512" s="5">
        <f>IF(B512&lt;&gt;"",VLOOKUP(B512,Projetos!E:F,2,0),"")</f>
        <v>29</v>
      </c>
      <c r="D512" s="5"/>
      <c r="E512" s="4" t="s">
        <v>23</v>
      </c>
      <c r="F512" s="69" t="s">
        <v>96</v>
      </c>
      <c r="G512" s="5" t="s">
        <v>64</v>
      </c>
      <c r="H512" s="10">
        <v>45428</v>
      </c>
      <c r="I512" s="21">
        <v>0.20833333333333334</v>
      </c>
      <c r="J512" s="5" t="s">
        <v>14</v>
      </c>
      <c r="K512" s="22"/>
    </row>
    <row r="513" spans="2:11">
      <c r="B513" s="4" t="s">
        <v>109</v>
      </c>
      <c r="C513" s="5">
        <f>IF(B513&lt;&gt;"",VLOOKUP(B513,Projetos!E:F,2,0),"")</f>
        <v>29</v>
      </c>
      <c r="D513" s="5"/>
      <c r="E513" s="4" t="s">
        <v>23</v>
      </c>
      <c r="F513" s="69" t="s">
        <v>96</v>
      </c>
      <c r="G513" s="5" t="s">
        <v>66</v>
      </c>
      <c r="H513" s="10">
        <v>45428</v>
      </c>
      <c r="I513" s="21">
        <v>0.20833333333333334</v>
      </c>
      <c r="J513" s="5" t="s">
        <v>14</v>
      </c>
      <c r="K513" s="22"/>
    </row>
    <row r="514" spans="2:11">
      <c r="B514" s="4" t="s">
        <v>109</v>
      </c>
      <c r="C514" s="5">
        <f>IF(B514&lt;&gt;"",VLOOKUP(B514,Projetos!E:F,2,0),"")</f>
        <v>29</v>
      </c>
      <c r="D514" s="5"/>
      <c r="E514" s="4" t="s">
        <v>23</v>
      </c>
      <c r="F514" s="69" t="s">
        <v>96</v>
      </c>
      <c r="G514" s="5" t="s">
        <v>64</v>
      </c>
      <c r="H514" s="10">
        <v>45428</v>
      </c>
      <c r="I514" s="21">
        <v>0.20833333333333334</v>
      </c>
      <c r="J514" s="5" t="s">
        <v>14</v>
      </c>
      <c r="K514" s="22"/>
    </row>
    <row r="515" spans="2:11">
      <c r="B515" s="4" t="s">
        <v>109</v>
      </c>
      <c r="C515" s="5">
        <f>IF(B515&lt;&gt;"",VLOOKUP(B515,Projetos!E:F,2,0),"")</f>
        <v>29</v>
      </c>
      <c r="D515" s="5"/>
      <c r="E515" s="4" t="s">
        <v>23</v>
      </c>
      <c r="F515" s="69" t="s">
        <v>96</v>
      </c>
      <c r="G515" s="5" t="s">
        <v>66</v>
      </c>
      <c r="H515" s="10">
        <v>45428</v>
      </c>
      <c r="I515" s="21">
        <v>0.20833333333333334</v>
      </c>
      <c r="J515" s="5" t="s">
        <v>14</v>
      </c>
      <c r="K515" s="22"/>
    </row>
    <row r="516" spans="2:11">
      <c r="B516" s="4" t="s">
        <v>109</v>
      </c>
      <c r="C516" s="5">
        <f>IF(B516&lt;&gt;"",VLOOKUP(B516,Projetos!E:F,2,0),"")</f>
        <v>29</v>
      </c>
      <c r="D516" s="5"/>
      <c r="E516" s="4" t="s">
        <v>49</v>
      </c>
      <c r="F516" s="69" t="s">
        <v>113</v>
      </c>
      <c r="G516" s="5" t="s">
        <v>64</v>
      </c>
      <c r="H516" s="10">
        <v>45429</v>
      </c>
      <c r="I516" s="21">
        <v>0.20833333333333334</v>
      </c>
      <c r="J516" s="5" t="s">
        <v>14</v>
      </c>
      <c r="K516" s="22"/>
    </row>
    <row r="517" spans="2:11">
      <c r="B517" s="4" t="s">
        <v>109</v>
      </c>
      <c r="C517" s="5">
        <f>IF(B517&lt;&gt;"",VLOOKUP(B517,Projetos!E:F,2,0),"")</f>
        <v>29</v>
      </c>
      <c r="D517" s="5"/>
      <c r="E517" s="4" t="s">
        <v>49</v>
      </c>
      <c r="F517" s="69" t="s">
        <v>113</v>
      </c>
      <c r="G517" s="5" t="s">
        <v>66</v>
      </c>
      <c r="H517" s="10">
        <v>45429</v>
      </c>
      <c r="I517" s="21">
        <v>0.20833333333333334</v>
      </c>
      <c r="J517" s="5" t="s">
        <v>14</v>
      </c>
      <c r="K517" s="22"/>
    </row>
    <row r="518" spans="2:11">
      <c r="B518" s="4" t="s">
        <v>85</v>
      </c>
      <c r="C518" s="5">
        <f>IF(B518&lt;&gt;"",VLOOKUP(B518,Projetos!E:F,2,0),"")</f>
        <v>1</v>
      </c>
      <c r="D518" s="5"/>
      <c r="E518" s="4" t="s">
        <v>40</v>
      </c>
      <c r="F518" s="69" t="s">
        <v>92</v>
      </c>
      <c r="G518" s="5" t="s">
        <v>42</v>
      </c>
      <c r="H518" s="10">
        <v>45413</v>
      </c>
      <c r="I518" s="15">
        <v>0.33333333333333331</v>
      </c>
      <c r="J518" s="5" t="s">
        <v>14</v>
      </c>
      <c r="K518" s="22"/>
    </row>
    <row r="519" spans="2:11">
      <c r="B519" s="4" t="s">
        <v>85</v>
      </c>
      <c r="C519" s="5">
        <f>IF(B519&lt;&gt;"",VLOOKUP(B519,Projetos!E:F,2,0),"")</f>
        <v>1</v>
      </c>
      <c r="D519" s="5"/>
      <c r="E519" s="4" t="s">
        <v>49</v>
      </c>
      <c r="F519" s="69" t="s">
        <v>114</v>
      </c>
      <c r="G519" s="5" t="s">
        <v>20</v>
      </c>
      <c r="H519" s="10">
        <v>45414</v>
      </c>
      <c r="I519" s="15">
        <v>0.125</v>
      </c>
      <c r="J519" s="5" t="s">
        <v>14</v>
      </c>
      <c r="K519" s="22"/>
    </row>
    <row r="520" spans="2:11">
      <c r="B520" s="4" t="s">
        <v>85</v>
      </c>
      <c r="C520" s="5">
        <f>IF(B520&lt;&gt;"",VLOOKUP(B520,Projetos!E:F,2,0),"")</f>
        <v>1</v>
      </c>
      <c r="D520" s="5"/>
      <c r="E520" s="4" t="s">
        <v>49</v>
      </c>
      <c r="F520" s="69" t="s">
        <v>115</v>
      </c>
      <c r="G520" s="5" t="s">
        <v>42</v>
      </c>
      <c r="H520" s="10">
        <v>45414</v>
      </c>
      <c r="I520" s="15">
        <v>0.125</v>
      </c>
      <c r="J520" s="5" t="s">
        <v>14</v>
      </c>
      <c r="K520" s="22"/>
    </row>
    <row r="521" spans="2:11">
      <c r="B521" s="4" t="s">
        <v>33</v>
      </c>
      <c r="C521" s="5">
        <f>IF(B521&lt;&gt;"",VLOOKUP(B521,Projetos!E:F,2,0),"")</f>
        <v>18</v>
      </c>
      <c r="D521" s="5"/>
      <c r="E521" s="4" t="s">
        <v>26</v>
      </c>
      <c r="F521" s="69" t="s">
        <v>93</v>
      </c>
      <c r="G521" s="5" t="s">
        <v>34</v>
      </c>
      <c r="H521" s="10">
        <v>45414</v>
      </c>
      <c r="I521" s="21">
        <v>0.16666666666666666</v>
      </c>
      <c r="J521" s="5" t="s">
        <v>14</v>
      </c>
      <c r="K521" s="22"/>
    </row>
    <row r="522" spans="2:11">
      <c r="B522" s="4" t="s">
        <v>85</v>
      </c>
      <c r="C522" s="5">
        <f>IF(B522&lt;&gt;"",VLOOKUP(B522,Projetos!E:F,2,0),"")</f>
        <v>1</v>
      </c>
      <c r="D522" s="5"/>
      <c r="E522" s="4" t="s">
        <v>40</v>
      </c>
      <c r="F522" s="69" t="s">
        <v>116</v>
      </c>
      <c r="G522" s="5" t="s">
        <v>42</v>
      </c>
      <c r="H522" s="10">
        <v>45415</v>
      </c>
      <c r="I522" s="15">
        <v>2.0833333333333332E-2</v>
      </c>
      <c r="J522" s="5" t="s">
        <v>14</v>
      </c>
      <c r="K522" s="22"/>
    </row>
    <row r="523" spans="2:11">
      <c r="B523" s="4" t="s">
        <v>33</v>
      </c>
      <c r="C523" s="5">
        <f>IF(B523&lt;&gt;"",VLOOKUP(B523,Projetos!E:F,2,0),"")</f>
        <v>18</v>
      </c>
      <c r="D523" s="5"/>
      <c r="E523" s="4" t="s">
        <v>26</v>
      </c>
      <c r="F523" s="69" t="s">
        <v>93</v>
      </c>
      <c r="G523" s="5" t="s">
        <v>34</v>
      </c>
      <c r="H523" s="10">
        <v>45415</v>
      </c>
      <c r="I523" s="21">
        <v>0.16666666666666666</v>
      </c>
      <c r="J523" s="5" t="s">
        <v>14</v>
      </c>
      <c r="K523" s="22"/>
    </row>
    <row r="524" spans="2:11">
      <c r="B524" s="4" t="s">
        <v>33</v>
      </c>
      <c r="C524" s="5">
        <f>IF(B524&lt;&gt;"",VLOOKUP(B524,Projetos!E:F,2,0),"")</f>
        <v>18</v>
      </c>
      <c r="D524" s="5"/>
      <c r="E524" s="4" t="s">
        <v>31</v>
      </c>
      <c r="F524" s="69" t="s">
        <v>117</v>
      </c>
      <c r="G524" s="5" t="s">
        <v>34</v>
      </c>
      <c r="H524" s="10">
        <v>45418</v>
      </c>
      <c r="I524" s="21">
        <v>0.16666666666666666</v>
      </c>
      <c r="J524" s="5" t="s">
        <v>14</v>
      </c>
      <c r="K524" s="22"/>
    </row>
    <row r="525" spans="2:11">
      <c r="B525" s="4" t="s">
        <v>33</v>
      </c>
      <c r="C525" s="5">
        <f>IF(B525&lt;&gt;"",VLOOKUP(B525,Projetos!E:F,2,0),"")</f>
        <v>18</v>
      </c>
      <c r="D525" s="5"/>
      <c r="E525" s="4" t="s">
        <v>31</v>
      </c>
      <c r="F525" s="69" t="s">
        <v>117</v>
      </c>
      <c r="G525" s="5" t="s">
        <v>34</v>
      </c>
      <c r="H525" s="10">
        <v>45419</v>
      </c>
      <c r="I525" s="21">
        <v>0.16666666666666666</v>
      </c>
      <c r="J525" s="5" t="s">
        <v>14</v>
      </c>
      <c r="K525" s="22"/>
    </row>
    <row r="526" spans="2:11">
      <c r="B526" s="4" t="s">
        <v>33</v>
      </c>
      <c r="C526" s="5">
        <f>IF(B526&lt;&gt;"",VLOOKUP(B526,Projetos!E:F,2,0),"")</f>
        <v>18</v>
      </c>
      <c r="D526" s="5"/>
      <c r="E526" s="4" t="s">
        <v>31</v>
      </c>
      <c r="F526" s="69" t="s">
        <v>117</v>
      </c>
      <c r="G526" s="5" t="s">
        <v>34</v>
      </c>
      <c r="H526" s="10">
        <v>45420</v>
      </c>
      <c r="I526" s="21">
        <v>0.16666666666666666</v>
      </c>
      <c r="J526" s="5" t="s">
        <v>14</v>
      </c>
      <c r="K526" s="22"/>
    </row>
    <row r="527" spans="2:11">
      <c r="B527" s="4" t="s">
        <v>33</v>
      </c>
      <c r="C527" s="5">
        <f>IF(B527&lt;&gt;"",VLOOKUP(B527,Projetos!E:F,2,0),"")</f>
        <v>18</v>
      </c>
      <c r="D527" s="5"/>
      <c r="E527" s="4" t="s">
        <v>31</v>
      </c>
      <c r="F527" s="69" t="s">
        <v>117</v>
      </c>
      <c r="G527" s="5" t="s">
        <v>34</v>
      </c>
      <c r="H527" s="10">
        <v>45421</v>
      </c>
      <c r="I527" s="21">
        <v>0.16666666666666666</v>
      </c>
      <c r="J527" s="5" t="s">
        <v>14</v>
      </c>
      <c r="K527" s="22"/>
    </row>
    <row r="528" spans="2:11">
      <c r="B528" s="4" t="s">
        <v>33</v>
      </c>
      <c r="C528" s="5">
        <f>IF(B528&lt;&gt;"",VLOOKUP(B528,Projetos!E:F,2,0),"")</f>
        <v>18</v>
      </c>
      <c r="D528" s="5"/>
      <c r="E528" s="4" t="s">
        <v>31</v>
      </c>
      <c r="F528" s="69" t="s">
        <v>117</v>
      </c>
      <c r="G528" s="5" t="s">
        <v>34</v>
      </c>
      <c r="H528" s="10">
        <v>45422</v>
      </c>
      <c r="I528" s="21">
        <v>0.16666666666666666</v>
      </c>
      <c r="J528" s="5" t="s">
        <v>14</v>
      </c>
      <c r="K528" s="22"/>
    </row>
    <row r="529" spans="2:11">
      <c r="B529" s="4" t="s">
        <v>118</v>
      </c>
      <c r="C529" s="5">
        <f>IF(B529&lt;&gt;"",VLOOKUP(B529,Projetos!E:F,2,0),"")</f>
        <v>21</v>
      </c>
      <c r="D529" s="5"/>
      <c r="E529" s="4" t="s">
        <v>119</v>
      </c>
      <c r="F529" s="69" t="s">
        <v>120</v>
      </c>
      <c r="G529" s="5" t="s">
        <v>28</v>
      </c>
      <c r="H529" s="10">
        <v>45453</v>
      </c>
      <c r="I529" s="30">
        <v>8.3333333333333329E-2</v>
      </c>
      <c r="J529" s="5" t="s">
        <v>14</v>
      </c>
      <c r="K529" s="22"/>
    </row>
    <row r="530" spans="2:11">
      <c r="B530" s="4" t="s">
        <v>118</v>
      </c>
      <c r="C530" s="5">
        <f>IF(B530&lt;&gt;"",VLOOKUP(B530,Projetos!E:F,2,0),"")</f>
        <v>21</v>
      </c>
      <c r="D530" s="5"/>
      <c r="E530" s="4" t="s">
        <v>49</v>
      </c>
      <c r="F530" s="69" t="s">
        <v>121</v>
      </c>
      <c r="G530" s="5" t="s">
        <v>28</v>
      </c>
      <c r="H530" s="10">
        <v>45453</v>
      </c>
      <c r="I530" s="30">
        <v>0.16666666666666666</v>
      </c>
      <c r="J530" s="5" t="s">
        <v>14</v>
      </c>
      <c r="K530" s="22"/>
    </row>
    <row r="531" spans="2:11">
      <c r="B531" s="4" t="s">
        <v>122</v>
      </c>
      <c r="C531" s="5">
        <f>IF(B531&lt;&gt;"",VLOOKUP(B531,Projetos!E:F,2,0),"")</f>
        <v>24</v>
      </c>
      <c r="D531" s="5"/>
      <c r="E531" s="4" t="s">
        <v>26</v>
      </c>
      <c r="F531" s="69" t="s">
        <v>123</v>
      </c>
      <c r="G531" s="5" t="s">
        <v>28</v>
      </c>
      <c r="H531" s="10">
        <v>45454</v>
      </c>
      <c r="I531" s="30">
        <v>0.25</v>
      </c>
      <c r="J531" s="5" t="s">
        <v>14</v>
      </c>
    </row>
    <row r="532" spans="2:11">
      <c r="B532" s="4" t="s">
        <v>33</v>
      </c>
      <c r="C532" s="5">
        <f>IF(B532&lt;&gt;"",VLOOKUP(B532,Projetos!E:F,2,0),"")</f>
        <v>18</v>
      </c>
      <c r="D532" s="5"/>
      <c r="E532" s="4" t="s">
        <v>31</v>
      </c>
      <c r="F532" s="69" t="s">
        <v>124</v>
      </c>
      <c r="G532" s="5" t="s">
        <v>28</v>
      </c>
      <c r="H532" s="10">
        <v>45454</v>
      </c>
      <c r="I532" s="30">
        <v>6.25E-2</v>
      </c>
      <c r="J532" s="5" t="s">
        <v>14</v>
      </c>
      <c r="K532" s="22"/>
    </row>
    <row r="533" spans="2:11">
      <c r="B533" s="4" t="s">
        <v>125</v>
      </c>
      <c r="C533" s="5">
        <f>IF(B533&lt;&gt;"",VLOOKUP(B533,Projetos!E:F,2,0),"")</f>
        <v>16</v>
      </c>
      <c r="D533" s="5"/>
      <c r="E533" s="4" t="s">
        <v>40</v>
      </c>
      <c r="F533" s="69" t="s">
        <v>126</v>
      </c>
      <c r="G533" s="5" t="s">
        <v>66</v>
      </c>
      <c r="H533" s="10">
        <v>45455</v>
      </c>
      <c r="I533" s="21">
        <v>0.22916666666666666</v>
      </c>
      <c r="J533" s="5" t="s">
        <v>14</v>
      </c>
      <c r="K533" s="22"/>
    </row>
    <row r="534" spans="2:11">
      <c r="B534" s="4" t="s">
        <v>125</v>
      </c>
      <c r="C534" s="5">
        <f>IF(B534&lt;&gt;"",VLOOKUP(B534,Projetos!E:F,2,0),"")</f>
        <v>16</v>
      </c>
      <c r="D534" s="5"/>
      <c r="E534" s="4" t="s">
        <v>40</v>
      </c>
      <c r="F534" s="72" t="s">
        <v>126</v>
      </c>
      <c r="G534" s="5" t="s">
        <v>64</v>
      </c>
      <c r="H534" s="10">
        <v>45455</v>
      </c>
      <c r="I534" s="21">
        <v>0.27083333333333331</v>
      </c>
      <c r="J534" s="5" t="s">
        <v>14</v>
      </c>
      <c r="K534" s="22"/>
    </row>
    <row r="535" spans="2:11" ht="30">
      <c r="B535" s="4" t="s">
        <v>33</v>
      </c>
      <c r="C535" s="5">
        <f>IF(B535&lt;&gt;"",VLOOKUP(B535,Projetos!E:F,2,0),"")</f>
        <v>18</v>
      </c>
      <c r="D535" s="5"/>
      <c r="E535" s="4" t="s">
        <v>21</v>
      </c>
      <c r="F535" s="69" t="s">
        <v>127</v>
      </c>
      <c r="G535" s="5" t="s">
        <v>34</v>
      </c>
      <c r="H535" s="10">
        <v>45455</v>
      </c>
      <c r="I535" s="21">
        <v>0.29166666666666669</v>
      </c>
      <c r="J535" s="5" t="s">
        <v>14</v>
      </c>
      <c r="K535" s="22"/>
    </row>
    <row r="536" spans="2:11" ht="30">
      <c r="B536" s="4" t="s">
        <v>128</v>
      </c>
      <c r="C536" s="5">
        <f>IF(B536&lt;&gt;"",VLOOKUP(B536,Projetos!E:F,2,0),"")</f>
        <v>23</v>
      </c>
      <c r="D536" s="5"/>
      <c r="E536" s="4" t="s">
        <v>21</v>
      </c>
      <c r="F536" s="69" t="s">
        <v>129</v>
      </c>
      <c r="G536" s="5" t="s">
        <v>20</v>
      </c>
      <c r="H536" s="10">
        <v>45455</v>
      </c>
      <c r="I536" s="21">
        <v>0.20833333333333334</v>
      </c>
      <c r="J536" s="5" t="s">
        <v>14</v>
      </c>
      <c r="K536" s="22"/>
    </row>
    <row r="537" spans="2:11">
      <c r="B537" s="4" t="s">
        <v>122</v>
      </c>
      <c r="C537" s="5">
        <f>IF(B537&lt;&gt;"",VLOOKUP(B537,Projetos!E:F,2,0),"")</f>
        <v>24</v>
      </c>
      <c r="D537" s="5"/>
      <c r="E537" s="4" t="s">
        <v>26</v>
      </c>
      <c r="F537" s="69" t="s">
        <v>130</v>
      </c>
      <c r="G537" s="5" t="s">
        <v>28</v>
      </c>
      <c r="H537" s="10">
        <v>45455</v>
      </c>
      <c r="I537" s="30">
        <v>0.29166666666666669</v>
      </c>
      <c r="J537" s="5" t="s">
        <v>14</v>
      </c>
      <c r="K537" s="22"/>
    </row>
    <row r="538" spans="2:11" ht="120">
      <c r="B538" s="29" t="s">
        <v>30</v>
      </c>
      <c r="C538" s="5">
        <f>IF(B538&lt;&gt;"",VLOOKUP(B538,Projetos!E:F,2,0),"")</f>
        <v>13</v>
      </c>
      <c r="D538" s="5"/>
      <c r="E538" s="29" t="s">
        <v>16</v>
      </c>
      <c r="F538" s="74" t="s">
        <v>131</v>
      </c>
      <c r="G538" s="5" t="s">
        <v>13</v>
      </c>
      <c r="H538" s="10">
        <v>45456</v>
      </c>
      <c r="I538" s="21">
        <v>8.3333333333333329E-2</v>
      </c>
      <c r="J538" s="5" t="s">
        <v>14</v>
      </c>
      <c r="K538" s="33" t="s">
        <v>132</v>
      </c>
    </row>
    <row r="539" spans="2:11">
      <c r="B539" s="4" t="s">
        <v>30</v>
      </c>
      <c r="C539" s="5">
        <f>IF(B539&lt;&gt;"",VLOOKUP(B539,Projetos!E:F,2,0),"")</f>
        <v>13</v>
      </c>
      <c r="D539" s="5"/>
      <c r="E539" s="4" t="s">
        <v>16</v>
      </c>
      <c r="F539" s="69" t="s">
        <v>131</v>
      </c>
      <c r="G539" s="5" t="s">
        <v>19</v>
      </c>
      <c r="H539" s="10">
        <v>45456</v>
      </c>
      <c r="I539" s="21">
        <v>8.3333333333333329E-2</v>
      </c>
      <c r="J539" s="5" t="s">
        <v>14</v>
      </c>
      <c r="K539" s="22"/>
    </row>
    <row r="540" spans="2:11">
      <c r="B540" s="4" t="s">
        <v>30</v>
      </c>
      <c r="C540" s="5">
        <f>IF(B540&lt;&gt;"",VLOOKUP(B540,Projetos!E:F,2,0),"")</f>
        <v>13</v>
      </c>
      <c r="D540" s="5"/>
      <c r="E540" s="4" t="s">
        <v>23</v>
      </c>
      <c r="F540" s="69" t="s">
        <v>133</v>
      </c>
      <c r="G540" s="5" t="s">
        <v>13</v>
      </c>
      <c r="H540" s="10">
        <v>45456</v>
      </c>
      <c r="I540" s="21">
        <v>0.16666666666666666</v>
      </c>
      <c r="J540" s="5" t="s">
        <v>14</v>
      </c>
      <c r="K540" s="22"/>
    </row>
    <row r="541" spans="2:11">
      <c r="B541" s="4" t="s">
        <v>125</v>
      </c>
      <c r="C541" s="5">
        <f>IF(B541&lt;&gt;"",VLOOKUP(B541,Projetos!E:F,2,0),"")</f>
        <v>16</v>
      </c>
      <c r="D541" s="5"/>
      <c r="E541" s="4" t="s">
        <v>40</v>
      </c>
      <c r="F541" s="69" t="s">
        <v>126</v>
      </c>
      <c r="G541" s="5" t="s">
        <v>66</v>
      </c>
      <c r="H541" s="10">
        <v>45456</v>
      </c>
      <c r="I541" s="21">
        <v>0.16666666666666666</v>
      </c>
      <c r="J541" s="5" t="s">
        <v>14</v>
      </c>
      <c r="K541" s="22"/>
    </row>
    <row r="542" spans="2:11">
      <c r="B542" s="4" t="s">
        <v>125</v>
      </c>
      <c r="C542" s="5">
        <f>IF(B542&lt;&gt;"",VLOOKUP(B542,Projetos!E:F,2,0),"")</f>
        <v>16</v>
      </c>
      <c r="D542" s="5"/>
      <c r="E542" s="4" t="s">
        <v>16</v>
      </c>
      <c r="F542" s="69" t="s">
        <v>134</v>
      </c>
      <c r="G542" s="5" t="s">
        <v>66</v>
      </c>
      <c r="H542" s="10">
        <v>45456</v>
      </c>
      <c r="I542" s="21">
        <v>1.3888888888888888E-2</v>
      </c>
      <c r="J542" s="5" t="s">
        <v>14</v>
      </c>
      <c r="K542" s="22"/>
    </row>
    <row r="543" spans="2:11">
      <c r="B543" s="4" t="s">
        <v>33</v>
      </c>
      <c r="C543" s="5">
        <f>IF(B543&lt;&gt;"",VLOOKUP(B543,Projetos!E:F,2,0),"")</f>
        <v>18</v>
      </c>
      <c r="D543" s="5"/>
      <c r="E543" s="4" t="s">
        <v>31</v>
      </c>
      <c r="F543" s="72" t="s">
        <v>135</v>
      </c>
      <c r="G543" s="5" t="s">
        <v>34</v>
      </c>
      <c r="H543" s="10">
        <v>45456</v>
      </c>
      <c r="I543" s="21">
        <v>0.29166666666666669</v>
      </c>
      <c r="J543" s="5" t="s">
        <v>14</v>
      </c>
      <c r="K543" s="22"/>
    </row>
    <row r="544" spans="2:11">
      <c r="B544" s="4" t="s">
        <v>136</v>
      </c>
      <c r="C544" s="5">
        <f>IF(B544&lt;&gt;"",VLOOKUP(B544,Projetos!E:F,2,0),"")</f>
        <v>25</v>
      </c>
      <c r="D544" s="5"/>
      <c r="E544" s="4" t="s">
        <v>40</v>
      </c>
      <c r="F544" s="69" t="s">
        <v>137</v>
      </c>
      <c r="G544" s="5" t="s">
        <v>64</v>
      </c>
      <c r="H544" s="10">
        <v>45456</v>
      </c>
      <c r="I544" s="21">
        <v>8.3333333333333329E-2</v>
      </c>
      <c r="J544" s="5" t="s">
        <v>14</v>
      </c>
      <c r="K544" s="22"/>
    </row>
    <row r="545" spans="2:11">
      <c r="B545" s="4" t="s">
        <v>125</v>
      </c>
      <c r="C545" s="5">
        <f>IF(B545&lt;&gt;"",VLOOKUP(B545,Projetos!E:F,2,0),"")</f>
        <v>16</v>
      </c>
      <c r="D545" s="5"/>
      <c r="E545" s="4" t="s">
        <v>40</v>
      </c>
      <c r="F545" s="69" t="s">
        <v>126</v>
      </c>
      <c r="G545" s="5" t="s">
        <v>64</v>
      </c>
      <c r="H545" s="10">
        <v>45456</v>
      </c>
      <c r="I545" s="21">
        <v>0.20833333333333334</v>
      </c>
      <c r="J545" s="5" t="s">
        <v>14</v>
      </c>
      <c r="K545" s="22"/>
    </row>
    <row r="546" spans="2:11">
      <c r="B546" s="4" t="s">
        <v>125</v>
      </c>
      <c r="C546" s="5">
        <f>IF(B546&lt;&gt;"",VLOOKUP(B546,Projetos!E:F,2,0),"")</f>
        <v>16</v>
      </c>
      <c r="D546" s="5"/>
      <c r="E546" s="4" t="s">
        <v>16</v>
      </c>
      <c r="F546" s="69" t="s">
        <v>134</v>
      </c>
      <c r="G546" s="5" t="s">
        <v>64</v>
      </c>
      <c r="H546" s="10">
        <v>45456</v>
      </c>
      <c r="I546" s="21">
        <v>1.3888888888888888E-2</v>
      </c>
      <c r="J546" s="5" t="s">
        <v>14</v>
      </c>
      <c r="K546" s="22"/>
    </row>
    <row r="547" spans="2:11">
      <c r="B547" s="4" t="s">
        <v>138</v>
      </c>
      <c r="C547" s="5">
        <f>IF(B547&lt;&gt;"",VLOOKUP(B547,Projetos!E:F,2,0),"")</f>
        <v>30</v>
      </c>
      <c r="D547" s="5"/>
      <c r="E547" s="4" t="s">
        <v>16</v>
      </c>
      <c r="F547" s="69" t="s">
        <v>139</v>
      </c>
      <c r="G547" s="5" t="s">
        <v>28</v>
      </c>
      <c r="H547" s="10">
        <v>45456</v>
      </c>
      <c r="I547" s="30">
        <v>0.16666666666666666</v>
      </c>
      <c r="J547" s="5" t="s">
        <v>14</v>
      </c>
      <c r="K547" s="22"/>
    </row>
    <row r="548" spans="2:11">
      <c r="B548" s="4" t="s">
        <v>30</v>
      </c>
      <c r="C548" s="5">
        <f>IF(B548&lt;&gt;"",VLOOKUP(B548,Projetos!E:F,2,0),"")</f>
        <v>13</v>
      </c>
      <c r="D548" s="5"/>
      <c r="E548" s="4" t="s">
        <v>21</v>
      </c>
      <c r="F548" s="69" t="s">
        <v>131</v>
      </c>
      <c r="G548" s="5" t="s">
        <v>19</v>
      </c>
      <c r="H548" s="10">
        <v>45457</v>
      </c>
      <c r="I548" s="21">
        <v>0.16666666666666666</v>
      </c>
      <c r="J548" s="5" t="s">
        <v>14</v>
      </c>
      <c r="K548" s="22"/>
    </row>
    <row r="549" spans="2:11">
      <c r="B549" s="4" t="s">
        <v>30</v>
      </c>
      <c r="C549" s="5">
        <f>IF(B549&lt;&gt;"",VLOOKUP(B549,Projetos!E:F,2,0),"")</f>
        <v>13</v>
      </c>
      <c r="D549" s="5"/>
      <c r="E549" s="4" t="s">
        <v>23</v>
      </c>
      <c r="F549" s="69" t="s">
        <v>133</v>
      </c>
      <c r="G549" s="5" t="s">
        <v>13</v>
      </c>
      <c r="H549" s="10">
        <v>45457</v>
      </c>
      <c r="I549" s="21">
        <v>0.20833333333333334</v>
      </c>
      <c r="J549" s="5" t="s">
        <v>14</v>
      </c>
      <c r="K549" s="22"/>
    </row>
    <row r="550" spans="2:11" ht="30">
      <c r="B550" s="4" t="s">
        <v>140</v>
      </c>
      <c r="C550" s="5">
        <f>IF(B550&lt;&gt;"",VLOOKUP(B550,Projetos!E:F,2,0),"")</f>
        <v>39</v>
      </c>
      <c r="D550" s="5"/>
      <c r="E550" s="4" t="s">
        <v>21</v>
      </c>
      <c r="F550" s="72" t="s">
        <v>141</v>
      </c>
      <c r="G550" s="5" t="s">
        <v>19</v>
      </c>
      <c r="H550" s="10">
        <v>45457</v>
      </c>
      <c r="I550" s="21">
        <v>8.3333333333333329E-2</v>
      </c>
      <c r="J550" s="5" t="s">
        <v>14</v>
      </c>
      <c r="K550" s="22" t="s">
        <v>142</v>
      </c>
    </row>
    <row r="551" spans="2:11">
      <c r="B551" s="4" t="s">
        <v>143</v>
      </c>
      <c r="C551" s="5">
        <f>IF(B551&lt;&gt;"",VLOOKUP(B551,Projetos!E:F,2,0),"")</f>
        <v>15</v>
      </c>
      <c r="D551" s="5"/>
      <c r="E551" s="4" t="s">
        <v>144</v>
      </c>
      <c r="F551" s="69" t="s">
        <v>145</v>
      </c>
      <c r="G551" s="5" t="s">
        <v>66</v>
      </c>
      <c r="H551" s="10">
        <v>45457</v>
      </c>
      <c r="I551" s="21">
        <v>0.19097222222222221</v>
      </c>
      <c r="J551" s="5" t="s">
        <v>14</v>
      </c>
      <c r="K551" s="22"/>
    </row>
    <row r="552" spans="2:11">
      <c r="B552" s="4" t="s">
        <v>146</v>
      </c>
      <c r="C552" s="5">
        <v>27</v>
      </c>
      <c r="D552" s="5"/>
      <c r="E552" s="4" t="s">
        <v>16</v>
      </c>
      <c r="F552" s="69" t="s">
        <v>147</v>
      </c>
      <c r="G552" s="5" t="s">
        <v>66</v>
      </c>
      <c r="H552" s="10">
        <v>45457</v>
      </c>
      <c r="I552" s="21">
        <v>5.9027777777777776E-2</v>
      </c>
      <c r="J552" s="5" t="s">
        <v>14</v>
      </c>
      <c r="K552" s="22"/>
    </row>
    <row r="553" spans="2:11">
      <c r="B553" s="4" t="s">
        <v>146</v>
      </c>
      <c r="C553" s="5">
        <f>IF(B553&lt;&gt;"",VLOOKUP(B553,Projetos!E:F,2,0),"")</f>
        <v>27</v>
      </c>
      <c r="D553" s="5"/>
      <c r="E553" s="4" t="s">
        <v>16</v>
      </c>
      <c r="F553" s="69" t="s">
        <v>147</v>
      </c>
      <c r="G553" s="5" t="s">
        <v>64</v>
      </c>
      <c r="H553" s="10">
        <v>45457</v>
      </c>
      <c r="I553" s="21">
        <v>5.9027777777777776E-2</v>
      </c>
      <c r="J553" s="5" t="s">
        <v>14</v>
      </c>
      <c r="K553" s="22"/>
    </row>
    <row r="554" spans="2:11" ht="30">
      <c r="B554" s="4" t="s">
        <v>136</v>
      </c>
      <c r="C554" s="5">
        <f>IF(B554&lt;&gt;"",VLOOKUP(B554,Projetos!E:F,2,0),"")</f>
        <v>25</v>
      </c>
      <c r="D554" s="5"/>
      <c r="E554" s="4" t="s">
        <v>49</v>
      </c>
      <c r="F554" s="69" t="s">
        <v>148</v>
      </c>
      <c r="G554" s="5" t="s">
        <v>64</v>
      </c>
      <c r="H554" s="10">
        <v>45457</v>
      </c>
      <c r="I554" s="21">
        <v>0.125</v>
      </c>
      <c r="J554" s="5" t="s">
        <v>14</v>
      </c>
      <c r="K554" s="22"/>
    </row>
    <row r="555" spans="2:11" ht="30">
      <c r="B555" s="4" t="s">
        <v>33</v>
      </c>
      <c r="C555" s="5">
        <f>IF(B555&lt;&gt;"",VLOOKUP(B555,Projetos!E:F,2,0),"")</f>
        <v>18</v>
      </c>
      <c r="D555" s="5"/>
      <c r="E555" s="4" t="s">
        <v>31</v>
      </c>
      <c r="F555" s="69" t="s">
        <v>149</v>
      </c>
      <c r="G555" s="5" t="s">
        <v>34</v>
      </c>
      <c r="H555" s="10">
        <v>45457</v>
      </c>
      <c r="I555" s="21">
        <v>0.29166666666666669</v>
      </c>
      <c r="J555" s="5" t="s">
        <v>14</v>
      </c>
      <c r="K555" s="22"/>
    </row>
    <row r="556" spans="2:11" ht="30">
      <c r="B556" s="4" t="s">
        <v>150</v>
      </c>
      <c r="C556" s="5">
        <f>IF(B556&lt;&gt;"",VLOOKUP(B556,Projetos!E:F,2,0),"")</f>
        <v>22</v>
      </c>
      <c r="D556" s="5"/>
      <c r="E556" s="4" t="s">
        <v>31</v>
      </c>
      <c r="F556" s="69" t="s">
        <v>151</v>
      </c>
      <c r="G556" s="5" t="s">
        <v>42</v>
      </c>
      <c r="H556" s="10">
        <v>45457</v>
      </c>
      <c r="I556" s="21">
        <v>0.33333333333333331</v>
      </c>
      <c r="J556" s="5" t="s">
        <v>14</v>
      </c>
      <c r="K556" s="22" t="s">
        <v>152</v>
      </c>
    </row>
    <row r="557" spans="2:11">
      <c r="B557" s="4" t="s">
        <v>138</v>
      </c>
      <c r="C557" s="5">
        <f>IF(B557&lt;&gt;"",VLOOKUP(B557,Projetos!E:F,2,0),"")</f>
        <v>30</v>
      </c>
      <c r="D557" s="5"/>
      <c r="E557" s="4" t="s">
        <v>153</v>
      </c>
      <c r="F557" s="69" t="s">
        <v>154</v>
      </c>
      <c r="G557" s="5" t="s">
        <v>20</v>
      </c>
      <c r="H557" s="10">
        <v>45457</v>
      </c>
      <c r="I557" s="30">
        <v>0.29166666666666669</v>
      </c>
      <c r="J557" s="5" t="s">
        <v>14</v>
      </c>
      <c r="K557" s="22"/>
    </row>
    <row r="558" spans="2:11">
      <c r="B558" s="4" t="s">
        <v>122</v>
      </c>
      <c r="C558" s="5">
        <f>IF(B558&lt;&gt;"",VLOOKUP(B558,Projetos!E:F,2,0),"")</f>
        <v>24</v>
      </c>
      <c r="D558" s="5"/>
      <c r="E558" s="4" t="s">
        <v>49</v>
      </c>
      <c r="F558" s="69" t="s">
        <v>155</v>
      </c>
      <c r="G558" s="5" t="s">
        <v>28</v>
      </c>
      <c r="H558" s="10">
        <v>45457</v>
      </c>
      <c r="I558" s="30">
        <v>0.25</v>
      </c>
      <c r="J558" s="5" t="s">
        <v>14</v>
      </c>
      <c r="K558" s="22"/>
    </row>
    <row r="559" spans="2:11" ht="30">
      <c r="B559" s="4" t="s">
        <v>150</v>
      </c>
      <c r="C559" s="5">
        <f>IF(B559&lt;&gt;"",VLOOKUP(B559,Projetos!E:F,2,0),"")</f>
        <v>22</v>
      </c>
      <c r="D559" s="5"/>
      <c r="E559" s="4" t="s">
        <v>31</v>
      </c>
      <c r="F559" s="69" t="s">
        <v>151</v>
      </c>
      <c r="G559" s="5" t="s">
        <v>42</v>
      </c>
      <c r="H559" s="10">
        <v>45458</v>
      </c>
      <c r="I559" s="21">
        <v>0.33333333333333331</v>
      </c>
      <c r="J559" s="5" t="s">
        <v>14</v>
      </c>
      <c r="K559" s="22"/>
    </row>
    <row r="560" spans="2:11">
      <c r="B560" s="4" t="s">
        <v>30</v>
      </c>
      <c r="C560" s="5">
        <f>IF(B560&lt;&gt;"",VLOOKUP(B560,Projetos!E:F,2,0),"")</f>
        <v>13</v>
      </c>
      <c r="D560" s="5"/>
      <c r="E560" s="4" t="s">
        <v>23</v>
      </c>
      <c r="F560" s="69" t="s">
        <v>133</v>
      </c>
      <c r="G560" s="5" t="s">
        <v>13</v>
      </c>
      <c r="H560" s="10">
        <v>45460</v>
      </c>
      <c r="I560" s="21">
        <v>0.16666666666666666</v>
      </c>
      <c r="J560" s="5" t="s">
        <v>14</v>
      </c>
      <c r="K560" s="22"/>
    </row>
    <row r="561" spans="2:11">
      <c r="B561" s="4" t="s">
        <v>156</v>
      </c>
      <c r="C561" s="5">
        <f>IF(B561&lt;&gt;"",VLOOKUP(B561,Projetos!E:F,2,0),"")</f>
        <v>3</v>
      </c>
      <c r="D561" s="5"/>
      <c r="E561" s="4" t="s">
        <v>16</v>
      </c>
      <c r="F561" s="69" t="s">
        <v>157</v>
      </c>
      <c r="G561" s="5" t="s">
        <v>13</v>
      </c>
      <c r="H561" s="10">
        <v>45460</v>
      </c>
      <c r="I561" s="21">
        <v>8.3333333333333329E-2</v>
      </c>
      <c r="J561" s="5" t="s">
        <v>14</v>
      </c>
      <c r="K561" s="22"/>
    </row>
    <row r="562" spans="2:11">
      <c r="B562" s="4" t="s">
        <v>143</v>
      </c>
      <c r="C562" s="5">
        <f>IF(B562&lt;&gt;"",VLOOKUP(B562,Projetos!E:F,2,0),"")</f>
        <v>15</v>
      </c>
      <c r="D562" s="5"/>
      <c r="E562" s="4" t="s">
        <v>158</v>
      </c>
      <c r="F562" s="69" t="s">
        <v>159</v>
      </c>
      <c r="G562" s="5" t="s">
        <v>66</v>
      </c>
      <c r="H562" s="10">
        <v>45460</v>
      </c>
      <c r="I562" s="21">
        <v>0.25</v>
      </c>
      <c r="J562" s="5" t="s">
        <v>14</v>
      </c>
      <c r="K562" s="22"/>
    </row>
    <row r="563" spans="2:11">
      <c r="B563" s="4" t="s">
        <v>128</v>
      </c>
      <c r="C563" s="5">
        <f>IF(B563&lt;&gt;"",VLOOKUP(B563,Projetos!E:F,2,0),"")</f>
        <v>23</v>
      </c>
      <c r="D563" s="5"/>
      <c r="E563" s="4" t="s">
        <v>40</v>
      </c>
      <c r="F563" s="69" t="s">
        <v>160</v>
      </c>
      <c r="G563" s="5" t="s">
        <v>42</v>
      </c>
      <c r="H563" s="10">
        <v>45460</v>
      </c>
      <c r="I563" s="21">
        <v>0.33333333333333331</v>
      </c>
      <c r="J563" s="5" t="s">
        <v>14</v>
      </c>
      <c r="K563" s="22"/>
    </row>
    <row r="564" spans="2:11">
      <c r="B564" s="4" t="s">
        <v>33</v>
      </c>
      <c r="C564" s="5">
        <f>IF(B564&lt;&gt;"",VLOOKUP(B564,Projetos!E:F,2,0),"")</f>
        <v>18</v>
      </c>
      <c r="D564" s="5"/>
      <c r="E564" s="4" t="s">
        <v>31</v>
      </c>
      <c r="F564" s="69" t="s">
        <v>161</v>
      </c>
      <c r="G564" s="5" t="s">
        <v>34</v>
      </c>
      <c r="H564" s="10">
        <v>45460</v>
      </c>
      <c r="I564" s="21">
        <v>0.29166666666666669</v>
      </c>
      <c r="J564" s="5" t="s">
        <v>14</v>
      </c>
      <c r="K564" s="22"/>
    </row>
    <row r="565" spans="2:11">
      <c r="B565" s="4" t="s">
        <v>143</v>
      </c>
      <c r="C565" s="5">
        <f>IF(B565&lt;&gt;"",VLOOKUP(B565,Projetos!E:F,2,0),"")</f>
        <v>15</v>
      </c>
      <c r="D565" s="5"/>
      <c r="E565" s="4" t="s">
        <v>158</v>
      </c>
      <c r="F565" s="69" t="s">
        <v>159</v>
      </c>
      <c r="G565" s="5" t="s">
        <v>64</v>
      </c>
      <c r="H565" s="10">
        <v>45460</v>
      </c>
      <c r="I565" s="21">
        <v>0.25</v>
      </c>
      <c r="J565" s="5" t="s">
        <v>162</v>
      </c>
      <c r="K565" s="22"/>
    </row>
    <row r="566" spans="2:11" ht="30">
      <c r="B566" s="4" t="s">
        <v>136</v>
      </c>
      <c r="C566" s="5">
        <f>IF(B566&lt;&gt;"",VLOOKUP(B566,Projetos!E:F,2,0),"")</f>
        <v>25</v>
      </c>
      <c r="D566" s="5"/>
      <c r="E566" s="4" t="s">
        <v>49</v>
      </c>
      <c r="F566" s="69" t="s">
        <v>163</v>
      </c>
      <c r="G566" s="5" t="s">
        <v>64</v>
      </c>
      <c r="H566" s="10">
        <v>45460</v>
      </c>
      <c r="I566" s="21">
        <v>8.3333333333333329E-2</v>
      </c>
      <c r="J566" s="5" t="s">
        <v>14</v>
      </c>
      <c r="K566" s="22"/>
    </row>
    <row r="567" spans="2:11">
      <c r="B567" s="4" t="s">
        <v>138</v>
      </c>
      <c r="C567" s="5">
        <f>IF(B567&lt;&gt;"",VLOOKUP(B567,Projetos!E:F,2,0),"")</f>
        <v>30</v>
      </c>
      <c r="D567" s="5"/>
      <c r="E567" s="4" t="s">
        <v>16</v>
      </c>
      <c r="F567" s="69" t="s">
        <v>164</v>
      </c>
      <c r="G567" s="5" t="s">
        <v>20</v>
      </c>
      <c r="H567" s="10">
        <v>45460</v>
      </c>
      <c r="I567" s="30">
        <v>8.3333333333333329E-2</v>
      </c>
      <c r="J567" s="5" t="s">
        <v>14</v>
      </c>
      <c r="K567" s="22"/>
    </row>
    <row r="568" spans="2:11">
      <c r="B568" s="4" t="s">
        <v>138</v>
      </c>
      <c r="C568" s="5">
        <f>IF(B568&lt;&gt;"",VLOOKUP(B568,Projetos!E:F,2,0),"")</f>
        <v>30</v>
      </c>
      <c r="D568" s="5"/>
      <c r="E568" s="4" t="s">
        <v>153</v>
      </c>
      <c r="F568" s="69" t="s">
        <v>165</v>
      </c>
      <c r="G568" s="5" t="s">
        <v>20</v>
      </c>
      <c r="H568" s="10">
        <v>45460</v>
      </c>
      <c r="I568" s="30">
        <v>0.20833333333333334</v>
      </c>
      <c r="J568" s="5" t="s">
        <v>14</v>
      </c>
      <c r="K568" s="22"/>
    </row>
    <row r="569" spans="2:11">
      <c r="B569" s="4" t="s">
        <v>118</v>
      </c>
      <c r="C569" s="5">
        <f>IF(B569&lt;&gt;"",VLOOKUP(B569,Projetos!E:F,2,0),"")</f>
        <v>21</v>
      </c>
      <c r="D569" s="5"/>
      <c r="E569" s="4" t="s">
        <v>26</v>
      </c>
      <c r="F569" s="69" t="s">
        <v>166</v>
      </c>
      <c r="G569" s="5" t="s">
        <v>28</v>
      </c>
      <c r="H569" s="10">
        <v>45460</v>
      </c>
      <c r="I569" s="30">
        <v>6.25E-2</v>
      </c>
      <c r="J569" s="5" t="s">
        <v>14</v>
      </c>
      <c r="K569" s="22"/>
    </row>
    <row r="570" spans="2:11">
      <c r="B570" s="4" t="s">
        <v>118</v>
      </c>
      <c r="C570" s="5">
        <f>IF(B570&lt;&gt;"",VLOOKUP(B570,Projetos!E:F,2,0),"")</f>
        <v>21</v>
      </c>
      <c r="D570" s="5"/>
      <c r="E570" s="4" t="s">
        <v>31</v>
      </c>
      <c r="F570" s="69" t="s">
        <v>167</v>
      </c>
      <c r="G570" s="5" t="s">
        <v>28</v>
      </c>
      <c r="H570" s="10">
        <v>45460</v>
      </c>
      <c r="I570" s="30">
        <v>2.0833333333333332E-2</v>
      </c>
      <c r="J570" s="5" t="s">
        <v>14</v>
      </c>
      <c r="K570" s="22"/>
    </row>
    <row r="571" spans="2:11" ht="30">
      <c r="B571" s="4" t="s">
        <v>33</v>
      </c>
      <c r="C571" s="5">
        <f>IF(B571&lt;&gt;"",VLOOKUP(B571,Projetos!E:F,2,0),"")</f>
        <v>18</v>
      </c>
      <c r="D571" s="5"/>
      <c r="E571" s="4" t="s">
        <v>31</v>
      </c>
      <c r="F571" s="69" t="s">
        <v>168</v>
      </c>
      <c r="G571" s="5" t="s">
        <v>34</v>
      </c>
      <c r="H571" s="10">
        <v>45461</v>
      </c>
      <c r="I571" s="30">
        <v>0.25</v>
      </c>
      <c r="J571" s="5" t="s">
        <v>14</v>
      </c>
      <c r="K571" s="22"/>
    </row>
    <row r="572" spans="2:11">
      <c r="B572" s="4" t="s">
        <v>33</v>
      </c>
      <c r="C572" s="5">
        <f>IF(B572&lt;&gt;"",VLOOKUP(B572,Projetos!E:F,2,0),"")</f>
        <v>18</v>
      </c>
      <c r="D572" s="5"/>
      <c r="E572" s="4" t="s">
        <v>31</v>
      </c>
      <c r="F572" s="69" t="s">
        <v>169</v>
      </c>
      <c r="G572" s="5" t="s">
        <v>42</v>
      </c>
      <c r="H572" s="10">
        <v>45461</v>
      </c>
      <c r="I572" s="30">
        <v>0.5</v>
      </c>
      <c r="J572" s="5" t="s">
        <v>14</v>
      </c>
      <c r="K572" s="22"/>
    </row>
    <row r="573" spans="2:11">
      <c r="B573" s="4" t="s">
        <v>128</v>
      </c>
      <c r="C573" s="5">
        <f>IF(B573&lt;&gt;"",VLOOKUP(B573,Projetos!E:F,2,0),"")</f>
        <v>23</v>
      </c>
      <c r="D573" s="5"/>
      <c r="E573" s="4" t="s">
        <v>16</v>
      </c>
      <c r="F573" s="69" t="s">
        <v>170</v>
      </c>
      <c r="G573" s="5" t="s">
        <v>42</v>
      </c>
      <c r="H573" s="10">
        <v>45461</v>
      </c>
      <c r="I573" s="30">
        <v>4.1666666666666664E-2</v>
      </c>
      <c r="J573" s="5" t="s">
        <v>14</v>
      </c>
      <c r="K573" s="22"/>
    </row>
    <row r="574" spans="2:11">
      <c r="B574" s="4" t="s">
        <v>156</v>
      </c>
      <c r="C574" s="5">
        <f>IF(B574&lt;&gt;"",VLOOKUP(B574,Projetos!E:F,2,0),"")</f>
        <v>3</v>
      </c>
      <c r="D574" s="5"/>
      <c r="E574" s="4" t="s">
        <v>16</v>
      </c>
      <c r="F574" s="69" t="s">
        <v>157</v>
      </c>
      <c r="G574" s="5" t="s">
        <v>13</v>
      </c>
      <c r="H574" s="10">
        <v>45461</v>
      </c>
      <c r="I574" s="21">
        <v>0.25</v>
      </c>
      <c r="J574" s="5" t="s">
        <v>14</v>
      </c>
      <c r="K574" s="22"/>
    </row>
    <row r="575" spans="2:11">
      <c r="B575" s="4" t="s">
        <v>143</v>
      </c>
      <c r="C575" s="5">
        <f>IF(B575&lt;&gt;"",VLOOKUP(B575,Projetos!E:F,2,0),"")</f>
        <v>15</v>
      </c>
      <c r="D575" s="5"/>
      <c r="E575" s="4" t="s">
        <v>158</v>
      </c>
      <c r="F575" s="69" t="s">
        <v>159</v>
      </c>
      <c r="G575" s="5" t="s">
        <v>66</v>
      </c>
      <c r="H575" s="10">
        <v>45461</v>
      </c>
      <c r="I575" s="21">
        <v>0.20833333333333334</v>
      </c>
      <c r="J575" s="5" t="s">
        <v>14</v>
      </c>
      <c r="K575" s="22"/>
    </row>
    <row r="576" spans="2:11">
      <c r="B576" s="4" t="s">
        <v>99</v>
      </c>
      <c r="C576" s="5">
        <f>IF(B576&lt;&gt;"",VLOOKUP(B576,Projetos!E:F,2,0),"")</f>
        <v>17</v>
      </c>
      <c r="D576" s="5"/>
      <c r="E576" s="4" t="s">
        <v>40</v>
      </c>
      <c r="F576" s="69" t="s">
        <v>171</v>
      </c>
      <c r="G576" s="5" t="s">
        <v>66</v>
      </c>
      <c r="H576" s="10">
        <v>45461</v>
      </c>
      <c r="I576" s="21">
        <v>4.1666666666666664E-2</v>
      </c>
      <c r="J576" s="5" t="s">
        <v>14</v>
      </c>
      <c r="K576" s="22"/>
    </row>
    <row r="577" spans="2:11">
      <c r="B577" s="4" t="s">
        <v>128</v>
      </c>
      <c r="C577" s="5">
        <f>IF(B577&lt;&gt;"",VLOOKUP(B577,Projetos!E:F,2,0),"")</f>
        <v>23</v>
      </c>
      <c r="D577" s="5"/>
      <c r="E577" s="4" t="s">
        <v>16</v>
      </c>
      <c r="F577" s="69" t="s">
        <v>172</v>
      </c>
      <c r="G577" s="5" t="s">
        <v>20</v>
      </c>
      <c r="H577" s="10">
        <v>45461</v>
      </c>
      <c r="I577" s="30">
        <v>4.1666666666666664E-2</v>
      </c>
      <c r="J577" s="5" t="s">
        <v>14</v>
      </c>
      <c r="K577" s="22"/>
    </row>
    <row r="578" spans="2:11">
      <c r="B578" s="4" t="s">
        <v>138</v>
      </c>
      <c r="C578" s="5">
        <f>IF(B578&lt;&gt;"",VLOOKUP(B578,Projetos!E:F,2,0),"")</f>
        <v>30</v>
      </c>
      <c r="D578" s="5"/>
      <c r="E578" s="4" t="s">
        <v>16</v>
      </c>
      <c r="F578" s="69" t="s">
        <v>173</v>
      </c>
      <c r="G578" s="5" t="s">
        <v>20</v>
      </c>
      <c r="H578" s="10">
        <v>45461</v>
      </c>
      <c r="I578" s="30">
        <v>2.0833333333333332E-2</v>
      </c>
      <c r="J578" s="5" t="s">
        <v>14</v>
      </c>
      <c r="K578" s="22"/>
    </row>
    <row r="579" spans="2:11">
      <c r="B579" s="4" t="s">
        <v>138</v>
      </c>
      <c r="C579" s="5">
        <f>IF(B579&lt;&gt;"",VLOOKUP(B579,Projetos!E:F,2,0),"")</f>
        <v>30</v>
      </c>
      <c r="D579" s="5"/>
      <c r="E579" s="4" t="s">
        <v>16</v>
      </c>
      <c r="F579" s="69" t="s">
        <v>173</v>
      </c>
      <c r="G579" s="5" t="s">
        <v>19</v>
      </c>
      <c r="H579" s="10">
        <v>45461</v>
      </c>
      <c r="I579" s="30">
        <v>2.0833333333333332E-2</v>
      </c>
      <c r="J579" s="5" t="s">
        <v>14</v>
      </c>
      <c r="K579" s="22"/>
    </row>
    <row r="580" spans="2:11">
      <c r="B580" s="4" t="s">
        <v>138</v>
      </c>
      <c r="C580" s="5">
        <f>IF(B580&lt;&gt;"",VLOOKUP(B580,Projetos!E:F,2,0),"")</f>
        <v>30</v>
      </c>
      <c r="D580" s="5"/>
      <c r="E580" s="4" t="s">
        <v>16</v>
      </c>
      <c r="F580" s="69" t="s">
        <v>173</v>
      </c>
      <c r="G580" s="5" t="s">
        <v>174</v>
      </c>
      <c r="H580" s="10">
        <v>45461</v>
      </c>
      <c r="I580" s="30">
        <v>2.0833333333333332E-2</v>
      </c>
      <c r="J580" s="5" t="s">
        <v>14</v>
      </c>
      <c r="K580" s="22"/>
    </row>
    <row r="581" spans="2:11">
      <c r="B581" s="4" t="s">
        <v>128</v>
      </c>
      <c r="C581" s="5">
        <f>IF(B581&lt;&gt;"",VLOOKUP(B581,Projetos!E:F,2,0),"")</f>
        <v>23</v>
      </c>
      <c r="D581" s="5"/>
      <c r="E581" s="4" t="s">
        <v>21</v>
      </c>
      <c r="F581" s="69" t="s">
        <v>175</v>
      </c>
      <c r="G581" s="5" t="s">
        <v>20</v>
      </c>
      <c r="H581" s="10">
        <v>45461</v>
      </c>
      <c r="I581" s="30">
        <v>8.3333333333333329E-2</v>
      </c>
      <c r="J581" s="5" t="s">
        <v>14</v>
      </c>
      <c r="K581" s="22"/>
    </row>
    <row r="582" spans="2:11">
      <c r="B582" s="4" t="s">
        <v>176</v>
      </c>
      <c r="C582" s="5">
        <f>IF(B582&lt;&gt;"",VLOOKUP(B582,Projetos!E:F,2,0),"")</f>
        <v>31</v>
      </c>
      <c r="D582" s="5"/>
      <c r="E582" s="4" t="s">
        <v>16</v>
      </c>
      <c r="F582" s="69" t="s">
        <v>177</v>
      </c>
      <c r="G582" s="5" t="s">
        <v>20</v>
      </c>
      <c r="H582" s="10">
        <v>45461</v>
      </c>
      <c r="I582" s="30">
        <v>6.25E-2</v>
      </c>
      <c r="J582" s="5" t="s">
        <v>14</v>
      </c>
      <c r="K582" s="22"/>
    </row>
    <row r="583" spans="2:11">
      <c r="B583" s="4" t="s">
        <v>176</v>
      </c>
      <c r="C583" s="5">
        <f>IF(B583&lt;&gt;"",VLOOKUP(B583,Projetos!E:F,2,0),"")</f>
        <v>31</v>
      </c>
      <c r="D583" s="5"/>
      <c r="E583" s="4" t="s">
        <v>16</v>
      </c>
      <c r="F583" s="69" t="s">
        <v>177</v>
      </c>
      <c r="G583" s="5" t="s">
        <v>18</v>
      </c>
      <c r="H583" s="10">
        <v>45461</v>
      </c>
      <c r="I583" s="30">
        <v>6.25E-2</v>
      </c>
      <c r="J583" s="5" t="s">
        <v>14</v>
      </c>
      <c r="K583" s="22"/>
    </row>
    <row r="584" spans="2:11">
      <c r="B584" s="4" t="s">
        <v>176</v>
      </c>
      <c r="C584" s="5">
        <f>IF(B584&lt;&gt;"",VLOOKUP(B584,Projetos!E:F,2,0),"")</f>
        <v>31</v>
      </c>
      <c r="D584" s="5"/>
      <c r="E584" s="4" t="s">
        <v>16</v>
      </c>
      <c r="F584" s="69" t="s">
        <v>177</v>
      </c>
      <c r="G584" s="5" t="s">
        <v>34</v>
      </c>
      <c r="H584" s="10">
        <v>45461</v>
      </c>
      <c r="I584" s="30">
        <v>6.25E-2</v>
      </c>
      <c r="J584" s="5" t="s">
        <v>14</v>
      </c>
      <c r="K584" s="22"/>
    </row>
    <row r="585" spans="2:11">
      <c r="B585" s="4" t="s">
        <v>176</v>
      </c>
      <c r="C585" s="5">
        <f>IF(B585&lt;&gt;"",VLOOKUP(B585,Projetos!E:F,2,0),"")</f>
        <v>31</v>
      </c>
      <c r="D585" s="5"/>
      <c r="E585" s="4" t="s">
        <v>16</v>
      </c>
      <c r="F585" s="69" t="s">
        <v>177</v>
      </c>
      <c r="G585" s="5" t="s">
        <v>19</v>
      </c>
      <c r="H585" s="10">
        <v>45461</v>
      </c>
      <c r="I585" s="30">
        <v>6.25E-2</v>
      </c>
      <c r="J585" s="5" t="s">
        <v>14</v>
      </c>
      <c r="K585" s="22"/>
    </row>
    <row r="586" spans="2:11">
      <c r="B586" s="4" t="s">
        <v>176</v>
      </c>
      <c r="C586" s="5">
        <f>IF(B586&lt;&gt;"",VLOOKUP(B586,Projetos!E:F,2,0),"")</f>
        <v>31</v>
      </c>
      <c r="D586" s="5"/>
      <c r="E586" s="4" t="s">
        <v>16</v>
      </c>
      <c r="F586" s="69" t="s">
        <v>177</v>
      </c>
      <c r="G586" s="5" t="s">
        <v>64</v>
      </c>
      <c r="H586" s="10">
        <v>45461</v>
      </c>
      <c r="I586" s="30">
        <v>6.25E-2</v>
      </c>
      <c r="J586" s="5" t="s">
        <v>14</v>
      </c>
      <c r="K586" s="22"/>
    </row>
    <row r="587" spans="2:11">
      <c r="B587" s="4" t="s">
        <v>176</v>
      </c>
      <c r="C587" s="5">
        <f>IF(B587&lt;&gt;"",VLOOKUP(B587,Projetos!E:F,2,0),"")</f>
        <v>31</v>
      </c>
      <c r="D587" s="5"/>
      <c r="E587" s="4" t="s">
        <v>16</v>
      </c>
      <c r="F587" s="69" t="s">
        <v>177</v>
      </c>
      <c r="G587" s="5" t="s">
        <v>178</v>
      </c>
      <c r="H587" s="10">
        <v>45461</v>
      </c>
      <c r="I587" s="30">
        <v>6.25E-2</v>
      </c>
      <c r="J587" s="5" t="s">
        <v>14</v>
      </c>
      <c r="K587" s="22"/>
    </row>
    <row r="588" spans="2:11">
      <c r="B588" s="4" t="s">
        <v>143</v>
      </c>
      <c r="C588" s="5">
        <f>IF(B588&lt;&gt;"",VLOOKUP(B588,Projetos!E:F,2,0),"")</f>
        <v>15</v>
      </c>
      <c r="D588" s="5"/>
      <c r="E588" s="4" t="s">
        <v>158</v>
      </c>
      <c r="F588" s="69" t="s">
        <v>159</v>
      </c>
      <c r="G588" s="5" t="s">
        <v>64</v>
      </c>
      <c r="H588" s="10">
        <v>45461</v>
      </c>
      <c r="I588" s="21">
        <v>0.1875</v>
      </c>
      <c r="J588" s="5" t="s">
        <v>14</v>
      </c>
      <c r="K588" s="22"/>
    </row>
    <row r="589" spans="2:11">
      <c r="B589" s="4" t="s">
        <v>122</v>
      </c>
      <c r="C589" s="5">
        <f>IF(B589&lt;&gt;"",VLOOKUP(B589,Projetos!E:F,2,0),"")</f>
        <v>24</v>
      </c>
      <c r="D589" s="5"/>
      <c r="E589" s="4" t="s">
        <v>26</v>
      </c>
      <c r="F589" s="69" t="s">
        <v>179</v>
      </c>
      <c r="G589" s="5" t="s">
        <v>28</v>
      </c>
      <c r="H589" s="10">
        <v>45461</v>
      </c>
      <c r="I589" s="30">
        <v>0.125</v>
      </c>
      <c r="J589" s="5" t="s">
        <v>14</v>
      </c>
      <c r="K589" s="22"/>
    </row>
    <row r="590" spans="2:11">
      <c r="B590" s="4" t="s">
        <v>122</v>
      </c>
      <c r="C590" s="5">
        <f>IF(B590&lt;&gt;"",VLOOKUP(B590,Projetos!E:F,2,0),"")</f>
        <v>24</v>
      </c>
      <c r="D590" s="5"/>
      <c r="E590" s="4" t="s">
        <v>26</v>
      </c>
      <c r="F590" s="69" t="s">
        <v>180</v>
      </c>
      <c r="G590" s="5" t="s">
        <v>28</v>
      </c>
      <c r="H590" s="10">
        <v>45461</v>
      </c>
      <c r="I590" s="30">
        <v>0.125</v>
      </c>
      <c r="J590" s="5" t="s">
        <v>14</v>
      </c>
      <c r="K590" s="22"/>
    </row>
    <row r="591" spans="2:11" ht="30">
      <c r="B591" s="4" t="s">
        <v>78</v>
      </c>
      <c r="C591" s="5">
        <f>IF(B591&lt;&gt;"",VLOOKUP(B591,Projetos!E:F,2,0),"")</f>
        <v>14</v>
      </c>
      <c r="D591" s="5"/>
      <c r="E591" s="4" t="s">
        <v>26</v>
      </c>
      <c r="F591" s="69" t="s">
        <v>181</v>
      </c>
      <c r="G591" s="5" t="s">
        <v>34</v>
      </c>
      <c r="H591" s="10">
        <v>45462</v>
      </c>
      <c r="I591" s="21">
        <v>8.3333333333333329E-2</v>
      </c>
      <c r="J591" s="5" t="s">
        <v>14</v>
      </c>
      <c r="K591" s="22"/>
    </row>
    <row r="592" spans="2:11" ht="30">
      <c r="B592" s="4" t="s">
        <v>138</v>
      </c>
      <c r="C592" s="5">
        <f>IF(B592&lt;&gt;"",VLOOKUP(B592,Projetos!E:F,2,0),"")</f>
        <v>30</v>
      </c>
      <c r="D592" s="5"/>
      <c r="E592" s="4" t="s">
        <v>26</v>
      </c>
      <c r="F592" s="69" t="s">
        <v>182</v>
      </c>
      <c r="G592" s="5" t="s">
        <v>34</v>
      </c>
      <c r="H592" s="10">
        <v>45462</v>
      </c>
      <c r="I592" s="21">
        <v>0.20833333333333334</v>
      </c>
      <c r="J592" s="5" t="s">
        <v>14</v>
      </c>
      <c r="K592" s="22" t="s">
        <v>183</v>
      </c>
    </row>
    <row r="593" spans="2:11">
      <c r="B593" s="4" t="s">
        <v>125</v>
      </c>
      <c r="C593" s="5">
        <f>IF(B593&lt;&gt;"",VLOOKUP(B593,Projetos!E:F,2,0),"")</f>
        <v>16</v>
      </c>
      <c r="D593" s="5"/>
      <c r="E593" s="4" t="s">
        <v>40</v>
      </c>
      <c r="F593" s="69" t="s">
        <v>184</v>
      </c>
      <c r="G593" s="5" t="s">
        <v>66</v>
      </c>
      <c r="H593" s="10">
        <v>45462</v>
      </c>
      <c r="I593" s="21">
        <v>6.25E-2</v>
      </c>
      <c r="J593" s="5" t="s">
        <v>14</v>
      </c>
      <c r="K593" s="22"/>
    </row>
    <row r="594" spans="2:11">
      <c r="B594" s="4" t="s">
        <v>78</v>
      </c>
      <c r="C594" s="5">
        <f>IF(B594&lt;&gt;"",VLOOKUP(B594,Projetos!E:F,2,0),"")</f>
        <v>14</v>
      </c>
      <c r="D594" s="5"/>
      <c r="E594" s="4" t="s">
        <v>40</v>
      </c>
      <c r="F594" s="69" t="s">
        <v>185</v>
      </c>
      <c r="G594" s="5" t="s">
        <v>66</v>
      </c>
      <c r="H594" s="10">
        <v>45462</v>
      </c>
      <c r="I594" s="21">
        <v>0.1875</v>
      </c>
      <c r="J594" s="5" t="s">
        <v>14</v>
      </c>
      <c r="K594" s="22"/>
    </row>
    <row r="595" spans="2:11">
      <c r="B595" s="4" t="s">
        <v>122</v>
      </c>
      <c r="C595" s="5">
        <f>IF(B595&lt;&gt;"",VLOOKUP(B595,Projetos!E:F,2,0),"")</f>
        <v>24</v>
      </c>
      <c r="D595" s="5"/>
      <c r="E595" s="4" t="s">
        <v>26</v>
      </c>
      <c r="F595" s="69" t="s">
        <v>186</v>
      </c>
      <c r="G595" s="5" t="s">
        <v>28</v>
      </c>
      <c r="H595" s="10">
        <v>45462</v>
      </c>
      <c r="I595" s="30">
        <v>0.47222222222222221</v>
      </c>
      <c r="J595" s="5" t="s">
        <v>14</v>
      </c>
      <c r="K595" s="22"/>
    </row>
    <row r="596" spans="2:11">
      <c r="B596" s="4" t="s">
        <v>128</v>
      </c>
      <c r="C596" s="5">
        <f>IF(B596&lt;&gt;"",VLOOKUP(B596,Projetos!E:F,2,0),"")</f>
        <v>23</v>
      </c>
      <c r="D596" s="5"/>
      <c r="E596" s="4" t="s">
        <v>21</v>
      </c>
      <c r="F596" s="69" t="s">
        <v>175</v>
      </c>
      <c r="G596" s="5" t="s">
        <v>20</v>
      </c>
      <c r="H596" s="10">
        <v>45462</v>
      </c>
      <c r="I596" s="30">
        <v>0.125</v>
      </c>
      <c r="J596" s="5" t="s">
        <v>14</v>
      </c>
      <c r="K596" s="22"/>
    </row>
    <row r="597" spans="2:11">
      <c r="B597" s="4" t="s">
        <v>138</v>
      </c>
      <c r="C597" s="5">
        <f>IF(B597&lt;&gt;"",VLOOKUP(B597,Projetos!E:F,2,0),"")</f>
        <v>30</v>
      </c>
      <c r="D597" s="5"/>
      <c r="E597" s="4" t="s">
        <v>21</v>
      </c>
      <c r="F597" s="69" t="s">
        <v>187</v>
      </c>
      <c r="G597" s="5" t="s">
        <v>20</v>
      </c>
      <c r="H597" s="10">
        <v>45462</v>
      </c>
      <c r="I597" s="30">
        <v>0.125</v>
      </c>
      <c r="J597" s="5" t="s">
        <v>14</v>
      </c>
      <c r="K597" s="22"/>
    </row>
    <row r="598" spans="2:11" ht="30">
      <c r="B598" s="4" t="s">
        <v>156</v>
      </c>
      <c r="C598" s="5">
        <f>IF(B598&lt;&gt;"",VLOOKUP(B598,Projetos!E:F,2,0),"")</f>
        <v>3</v>
      </c>
      <c r="D598" s="5"/>
      <c r="E598" s="4" t="s">
        <v>49</v>
      </c>
      <c r="F598" s="69" t="s">
        <v>188</v>
      </c>
      <c r="G598" s="5" t="s">
        <v>13</v>
      </c>
      <c r="H598" s="10">
        <v>45462</v>
      </c>
      <c r="I598" s="30">
        <v>0.25</v>
      </c>
      <c r="J598" s="5" t="s">
        <v>14</v>
      </c>
      <c r="K598" s="22"/>
    </row>
    <row r="599" spans="2:11">
      <c r="B599" s="4" t="s">
        <v>128</v>
      </c>
      <c r="C599" s="5">
        <f>IF(B599&lt;&gt;"",VLOOKUP(B599,Projetos!E:F,2,0),"")</f>
        <v>23</v>
      </c>
      <c r="D599" s="5"/>
      <c r="E599" s="4" t="s">
        <v>40</v>
      </c>
      <c r="F599" s="69" t="s">
        <v>189</v>
      </c>
      <c r="G599" s="5" t="s">
        <v>42</v>
      </c>
      <c r="H599" s="10">
        <v>45463</v>
      </c>
      <c r="I599" s="30">
        <v>0.25</v>
      </c>
      <c r="J599" s="5" t="s">
        <v>14</v>
      </c>
      <c r="K599" s="22"/>
    </row>
    <row r="600" spans="2:11" ht="30">
      <c r="B600" s="4" t="s">
        <v>138</v>
      </c>
      <c r="C600" s="5">
        <f>IF(B600&lt;&gt;"",VLOOKUP(B600,Projetos!E:F,2,0),"")</f>
        <v>30</v>
      </c>
      <c r="D600" s="5"/>
      <c r="E600" s="4" t="s">
        <v>26</v>
      </c>
      <c r="F600" s="69" t="s">
        <v>190</v>
      </c>
      <c r="G600" s="5" t="s">
        <v>34</v>
      </c>
      <c r="H600" s="10">
        <v>45463</v>
      </c>
      <c r="I600" s="30">
        <v>8.3333333333333329E-2</v>
      </c>
      <c r="J600" s="5" t="s">
        <v>14</v>
      </c>
      <c r="K600" s="22"/>
    </row>
    <row r="601" spans="2:11">
      <c r="B601" s="4" t="s">
        <v>33</v>
      </c>
      <c r="C601" s="5">
        <f>IF(B601&lt;&gt;"",VLOOKUP(B601,Projetos!E:F,2,0),"")</f>
        <v>18</v>
      </c>
      <c r="D601" s="5"/>
      <c r="E601" s="4" t="s">
        <v>40</v>
      </c>
      <c r="F601" s="69" t="s">
        <v>191</v>
      </c>
      <c r="G601" s="5" t="s">
        <v>42</v>
      </c>
      <c r="H601" s="10">
        <v>45463</v>
      </c>
      <c r="I601" s="30">
        <v>0.25</v>
      </c>
      <c r="J601" s="5" t="s">
        <v>14</v>
      </c>
      <c r="K601" s="22"/>
    </row>
    <row r="602" spans="2:11">
      <c r="B602" s="4" t="s">
        <v>192</v>
      </c>
      <c r="C602" s="5">
        <f>IF(B602&lt;&gt;"",VLOOKUP(B602,Projetos!E:F,2,0),"")</f>
        <v>32</v>
      </c>
      <c r="D602" s="5"/>
      <c r="E602" s="4" t="s">
        <v>193</v>
      </c>
      <c r="F602" s="69" t="s">
        <v>194</v>
      </c>
      <c r="G602" s="5" t="s">
        <v>34</v>
      </c>
      <c r="H602" s="10">
        <v>45463</v>
      </c>
      <c r="I602" s="21">
        <v>4.1666666666666664E-2</v>
      </c>
      <c r="J602" s="5" t="s">
        <v>14</v>
      </c>
      <c r="K602" s="22"/>
    </row>
    <row r="603" spans="2:11">
      <c r="B603" s="4" t="s">
        <v>195</v>
      </c>
      <c r="C603" s="5">
        <v>33</v>
      </c>
      <c r="D603" s="5"/>
      <c r="E603" s="4" t="s">
        <v>49</v>
      </c>
      <c r="F603" s="69" t="s">
        <v>196</v>
      </c>
      <c r="G603" s="5" t="s">
        <v>64</v>
      </c>
      <c r="H603" s="10">
        <v>45463</v>
      </c>
      <c r="I603" s="21">
        <v>0.125</v>
      </c>
      <c r="J603" s="5" t="s">
        <v>14</v>
      </c>
      <c r="K603" s="22"/>
    </row>
    <row r="604" spans="2:11">
      <c r="B604" s="4" t="s">
        <v>136</v>
      </c>
      <c r="C604" s="5">
        <f>IF(B604&lt;&gt;"",VLOOKUP(B604,Projetos!E:F,2,0),"")</f>
        <v>25</v>
      </c>
      <c r="D604" s="5"/>
      <c r="E604" s="4" t="s">
        <v>119</v>
      </c>
      <c r="F604" s="69" t="s">
        <v>197</v>
      </c>
      <c r="G604" s="5" t="s">
        <v>64</v>
      </c>
      <c r="H604" s="10">
        <v>45463</v>
      </c>
      <c r="I604" s="21">
        <v>0.125</v>
      </c>
      <c r="J604" s="5" t="s">
        <v>14</v>
      </c>
      <c r="K604" s="22"/>
    </row>
    <row r="605" spans="2:11">
      <c r="B605" s="4" t="s">
        <v>99</v>
      </c>
      <c r="C605" s="5">
        <f>IF(B605&lt;&gt;"",VLOOKUP(B605,Projetos!E:F,2,0),"")</f>
        <v>17</v>
      </c>
      <c r="D605" s="5"/>
      <c r="E605" s="4" t="s">
        <v>31</v>
      </c>
      <c r="F605" s="69" t="s">
        <v>198</v>
      </c>
      <c r="G605" s="5" t="s">
        <v>66</v>
      </c>
      <c r="H605" s="10">
        <v>45463</v>
      </c>
      <c r="I605" s="21">
        <v>8.3333333333333329E-2</v>
      </c>
      <c r="J605" s="5" t="s">
        <v>14</v>
      </c>
      <c r="K605" s="22"/>
    </row>
    <row r="606" spans="2:11">
      <c r="B606" s="4" t="s">
        <v>128</v>
      </c>
      <c r="C606" s="5">
        <f>IF(B606&lt;&gt;"",VLOOKUP(B606,Projetos!E:F,2,0),"")</f>
        <v>23</v>
      </c>
      <c r="D606" s="5"/>
      <c r="E606" s="4" t="s">
        <v>21</v>
      </c>
      <c r="F606" s="69" t="s">
        <v>175</v>
      </c>
      <c r="G606" s="5" t="s">
        <v>20</v>
      </c>
      <c r="H606" s="10">
        <v>45463</v>
      </c>
      <c r="I606" s="21">
        <v>0.125</v>
      </c>
      <c r="J606" s="5" t="s">
        <v>14</v>
      </c>
      <c r="K606" s="22"/>
    </row>
    <row r="607" spans="2:11">
      <c r="B607" s="4" t="s">
        <v>138</v>
      </c>
      <c r="C607" s="5">
        <f>IF(B607&lt;&gt;"",VLOOKUP(B607,Projetos!E:F,2,0),"")</f>
        <v>30</v>
      </c>
      <c r="D607" s="5"/>
      <c r="E607" s="4" t="s">
        <v>16</v>
      </c>
      <c r="F607" s="69" t="s">
        <v>199</v>
      </c>
      <c r="G607" s="5" t="s">
        <v>20</v>
      </c>
      <c r="H607" s="10">
        <v>45463</v>
      </c>
      <c r="I607" s="21">
        <v>4.1666666666666664E-2</v>
      </c>
      <c r="J607" s="5" t="s">
        <v>14</v>
      </c>
      <c r="K607" s="22"/>
    </row>
    <row r="608" spans="2:11">
      <c r="B608" s="4" t="s">
        <v>138</v>
      </c>
      <c r="C608" s="5">
        <f>IF(B608&lt;&gt;"",VLOOKUP(B608,Projetos!E:F,2,0),"")</f>
        <v>30</v>
      </c>
      <c r="D608" s="5"/>
      <c r="E608" s="4" t="s">
        <v>21</v>
      </c>
      <c r="F608" s="69" t="s">
        <v>200</v>
      </c>
      <c r="G608" s="5" t="s">
        <v>20</v>
      </c>
      <c r="H608" s="10">
        <v>45463</v>
      </c>
      <c r="I608" s="21">
        <v>0.125</v>
      </c>
      <c r="J608" s="5" t="s">
        <v>14</v>
      </c>
      <c r="K608" s="22"/>
    </row>
    <row r="609" spans="2:11" ht="30">
      <c r="B609" s="4" t="s">
        <v>156</v>
      </c>
      <c r="C609" s="5">
        <f>IF(B609&lt;&gt;"",VLOOKUP(B609,Projetos!E:F,2,0),"")</f>
        <v>3</v>
      </c>
      <c r="D609" s="5"/>
      <c r="E609" s="4" t="s">
        <v>49</v>
      </c>
      <c r="F609" s="69" t="s">
        <v>188</v>
      </c>
      <c r="G609" s="5" t="s">
        <v>13</v>
      </c>
      <c r="H609" s="10">
        <v>45463</v>
      </c>
      <c r="I609" s="30">
        <v>0.25</v>
      </c>
      <c r="J609" s="5" t="s">
        <v>14</v>
      </c>
      <c r="K609" s="22"/>
    </row>
    <row r="610" spans="2:11" ht="30">
      <c r="B610" s="4" t="s">
        <v>33</v>
      </c>
      <c r="C610" s="5">
        <f>IF(B610&lt;&gt;"",VLOOKUP(B610,Projetos!E:F,2,0),"")</f>
        <v>18</v>
      </c>
      <c r="D610" s="5"/>
      <c r="E610" s="4" t="s">
        <v>31</v>
      </c>
      <c r="F610" s="69" t="s">
        <v>201</v>
      </c>
      <c r="G610" s="5" t="s">
        <v>28</v>
      </c>
      <c r="H610" s="10">
        <v>45463</v>
      </c>
      <c r="I610" s="30">
        <v>0.125</v>
      </c>
      <c r="J610" s="5" t="s">
        <v>14</v>
      </c>
      <c r="K610" s="22"/>
    </row>
    <row r="611" spans="2:11" ht="30">
      <c r="B611" s="4" t="s">
        <v>138</v>
      </c>
      <c r="C611" s="5">
        <f>IF(B611&lt;&gt;"",VLOOKUP(B611,Projetos!E:F,2,0),"")</f>
        <v>30</v>
      </c>
      <c r="D611" s="5"/>
      <c r="E611" s="4" t="s">
        <v>16</v>
      </c>
      <c r="F611" s="69" t="s">
        <v>202</v>
      </c>
      <c r="G611" s="5" t="s">
        <v>28</v>
      </c>
      <c r="H611" s="10">
        <v>45463</v>
      </c>
      <c r="I611" s="30">
        <v>8.3333333333333329E-2</v>
      </c>
      <c r="J611" s="5" t="s">
        <v>14</v>
      </c>
      <c r="K611" s="22"/>
    </row>
    <row r="612" spans="2:11">
      <c r="B612" s="4" t="s">
        <v>122</v>
      </c>
      <c r="C612" s="5">
        <f>IF(B612&lt;&gt;"",VLOOKUP(B612,Projetos!E:F,2,0),"")</f>
        <v>24</v>
      </c>
      <c r="D612" s="5"/>
      <c r="E612" s="4" t="s">
        <v>26</v>
      </c>
      <c r="F612" s="69" t="s">
        <v>203</v>
      </c>
      <c r="G612" s="5" t="s">
        <v>28</v>
      </c>
      <c r="H612" s="10">
        <v>45463</v>
      </c>
      <c r="I612" s="30">
        <v>0.16666666666666666</v>
      </c>
      <c r="J612" s="5" t="s">
        <v>14</v>
      </c>
      <c r="K612" s="22"/>
    </row>
    <row r="613" spans="2:11">
      <c r="B613" s="4" t="s">
        <v>33</v>
      </c>
      <c r="C613" s="5">
        <f>IF(B613&lt;&gt;"",VLOOKUP(B613,Projetos!E:F,2,0),"")</f>
        <v>18</v>
      </c>
      <c r="D613" s="5"/>
      <c r="E613" s="4" t="s">
        <v>31</v>
      </c>
      <c r="F613" s="69" t="s">
        <v>204</v>
      </c>
      <c r="G613" s="5" t="s">
        <v>34</v>
      </c>
      <c r="H613" s="10">
        <v>45464</v>
      </c>
      <c r="I613" s="30">
        <v>0.16666666666666666</v>
      </c>
      <c r="J613" s="5" t="s">
        <v>14</v>
      </c>
      <c r="K613" s="22"/>
    </row>
    <row r="614" spans="2:11">
      <c r="B614" s="4" t="s">
        <v>205</v>
      </c>
      <c r="C614" s="5">
        <f>IF(B614&lt;&gt;"",VLOOKUP(B614,Projetos!E:F,2,0),"")</f>
        <v>34</v>
      </c>
      <c r="D614" s="5"/>
      <c r="E614" s="4" t="s">
        <v>21</v>
      </c>
      <c r="F614" s="69" t="s">
        <v>206</v>
      </c>
      <c r="G614" s="5" t="s">
        <v>66</v>
      </c>
      <c r="H614" s="10">
        <v>45464</v>
      </c>
      <c r="I614" s="30">
        <v>0.125</v>
      </c>
      <c r="J614" s="5" t="s">
        <v>14</v>
      </c>
      <c r="K614" s="22"/>
    </row>
    <row r="615" spans="2:11" ht="30">
      <c r="B615" s="4" t="s">
        <v>156</v>
      </c>
      <c r="C615" s="5">
        <f>IF(B615&lt;&gt;"",VLOOKUP(B615,Projetos!E:F,2,0),"")</f>
        <v>3</v>
      </c>
      <c r="D615" s="5"/>
      <c r="E615" s="4" t="s">
        <v>49</v>
      </c>
      <c r="F615" s="69" t="s">
        <v>188</v>
      </c>
      <c r="G615" s="5" t="s">
        <v>13</v>
      </c>
      <c r="H615" s="10">
        <v>45464</v>
      </c>
      <c r="I615" s="30">
        <v>0.25</v>
      </c>
      <c r="J615" s="5" t="s">
        <v>14</v>
      </c>
      <c r="K615" s="22"/>
    </row>
    <row r="616" spans="2:11">
      <c r="B616" s="4" t="s">
        <v>122</v>
      </c>
      <c r="C616" s="5">
        <f>IF(B616&lt;&gt;"",VLOOKUP(B616,Projetos!E:F,2,0),"")</f>
        <v>24</v>
      </c>
      <c r="D616" s="5"/>
      <c r="E616" s="4" t="s">
        <v>26</v>
      </c>
      <c r="F616" s="69" t="s">
        <v>203</v>
      </c>
      <c r="G616" s="5" t="s">
        <v>28</v>
      </c>
      <c r="H616" s="10">
        <v>45464</v>
      </c>
      <c r="I616" s="30">
        <v>0.25</v>
      </c>
      <c r="J616" s="5" t="s">
        <v>14</v>
      </c>
      <c r="K616" s="22"/>
    </row>
    <row r="617" spans="2:11">
      <c r="B617" s="4" t="s">
        <v>33</v>
      </c>
      <c r="C617" s="5">
        <f>IF(B617&lt;&gt;"",VLOOKUP(B617,Projetos!E:F,2,0),"")</f>
        <v>18</v>
      </c>
      <c r="D617" s="5"/>
      <c r="E617" s="4" t="s">
        <v>31</v>
      </c>
      <c r="F617" s="69" t="s">
        <v>207</v>
      </c>
      <c r="G617" s="5" t="s">
        <v>34</v>
      </c>
      <c r="H617" s="10">
        <v>45467</v>
      </c>
      <c r="I617" s="30">
        <v>0.16666666666666666</v>
      </c>
      <c r="J617" s="5" t="s">
        <v>14</v>
      </c>
      <c r="K617" s="22"/>
    </row>
    <row r="618" spans="2:11">
      <c r="B618" s="4" t="s">
        <v>61</v>
      </c>
      <c r="C618" s="5">
        <f>IF(B618&lt;&gt;"",VLOOKUP(B618,Projetos!E:F,2,0),"")</f>
        <v>11</v>
      </c>
      <c r="D618" s="5"/>
      <c r="E618" s="4" t="s">
        <v>31</v>
      </c>
      <c r="F618" s="69" t="s">
        <v>208</v>
      </c>
      <c r="G618" s="5" t="s">
        <v>34</v>
      </c>
      <c r="H618" s="10">
        <v>45467</v>
      </c>
      <c r="I618" s="30">
        <v>4.1666666666666664E-2</v>
      </c>
      <c r="J618" s="5" t="s">
        <v>14</v>
      </c>
      <c r="K618" s="22"/>
    </row>
    <row r="619" spans="2:11">
      <c r="B619" s="4" t="s">
        <v>195</v>
      </c>
      <c r="C619" s="5">
        <f>IF(B619&lt;&gt;"",VLOOKUP(B619,Projetos!E:F,2,0),"")</f>
        <v>33</v>
      </c>
      <c r="D619" s="5"/>
      <c r="E619" s="4" t="s">
        <v>40</v>
      </c>
      <c r="F619" s="69" t="s">
        <v>209</v>
      </c>
      <c r="G619" s="5" t="s">
        <v>64</v>
      </c>
      <c r="H619" s="10">
        <v>45467</v>
      </c>
      <c r="I619" s="21">
        <v>0.16666666666666666</v>
      </c>
      <c r="J619" s="5" t="s">
        <v>14</v>
      </c>
      <c r="K619" s="22"/>
    </row>
    <row r="620" spans="2:11">
      <c r="B620" s="4" t="s">
        <v>205</v>
      </c>
      <c r="C620" s="5">
        <f>IF(B620&lt;&gt;"",VLOOKUP(B620,Projetos!E:F,2,0),"")</f>
        <v>34</v>
      </c>
      <c r="D620" s="5"/>
      <c r="E620" s="4" t="s">
        <v>11</v>
      </c>
      <c r="F620" s="69" t="s">
        <v>210</v>
      </c>
      <c r="G620" s="5" t="s">
        <v>64</v>
      </c>
      <c r="H620" s="10">
        <v>45467</v>
      </c>
      <c r="I620" s="21">
        <v>8.3333333333333329E-2</v>
      </c>
      <c r="J620" s="5" t="s">
        <v>14</v>
      </c>
      <c r="K620" s="22"/>
    </row>
    <row r="621" spans="2:11">
      <c r="B621" s="4" t="s">
        <v>136</v>
      </c>
      <c r="C621" s="5">
        <f>IF(B621&lt;&gt;"",VLOOKUP(B621,Projetos!E:F,2,0),"")</f>
        <v>25</v>
      </c>
      <c r="D621" s="5"/>
      <c r="E621" s="4" t="s">
        <v>49</v>
      </c>
      <c r="F621" s="69" t="s">
        <v>211</v>
      </c>
      <c r="G621" s="5" t="s">
        <v>64</v>
      </c>
      <c r="H621" s="10">
        <v>45467</v>
      </c>
      <c r="I621" s="21">
        <v>2.0833333333333332E-2</v>
      </c>
      <c r="J621" s="5" t="s">
        <v>14</v>
      </c>
      <c r="K621" s="22"/>
    </row>
    <row r="622" spans="2:11">
      <c r="B622" s="4" t="s">
        <v>128</v>
      </c>
      <c r="C622" s="5">
        <f>IF(B622&lt;&gt;"",VLOOKUP(B622,Projetos!E:F,2,0),"")</f>
        <v>23</v>
      </c>
      <c r="D622" s="5"/>
      <c r="E622" s="4" t="s">
        <v>40</v>
      </c>
      <c r="F622" s="69" t="s">
        <v>212</v>
      </c>
      <c r="G622" s="5" t="s">
        <v>42</v>
      </c>
      <c r="H622" s="10">
        <v>45467</v>
      </c>
      <c r="I622" s="30">
        <v>0.25</v>
      </c>
      <c r="J622" s="5" t="s">
        <v>14</v>
      </c>
      <c r="K622" s="22"/>
    </row>
    <row r="623" spans="2:11" ht="30">
      <c r="B623" s="4" t="s">
        <v>136</v>
      </c>
      <c r="C623" s="5">
        <f>IF(B623&lt;&gt;"",VLOOKUP(B623,Projetos!E:F,2,0),"")</f>
        <v>25</v>
      </c>
      <c r="D623" s="5"/>
      <c r="E623" s="4" t="s">
        <v>40</v>
      </c>
      <c r="F623" s="69" t="s">
        <v>213</v>
      </c>
      <c r="G623" s="5" t="s">
        <v>42</v>
      </c>
      <c r="H623" s="10">
        <v>45467</v>
      </c>
      <c r="I623" s="30">
        <v>8.3333333333333329E-2</v>
      </c>
      <c r="J623" s="5" t="s">
        <v>14</v>
      </c>
      <c r="K623" s="22"/>
    </row>
    <row r="624" spans="2:11" ht="30">
      <c r="B624" s="4" t="s">
        <v>138</v>
      </c>
      <c r="C624" s="5">
        <f>IF(B624&lt;&gt;"",VLOOKUP(B624,Projetos!E:F,2,0),"")</f>
        <v>30</v>
      </c>
      <c r="D624" s="5"/>
      <c r="E624" s="4" t="s">
        <v>153</v>
      </c>
      <c r="F624" s="69" t="s">
        <v>214</v>
      </c>
      <c r="G624" s="5" t="s">
        <v>20</v>
      </c>
      <c r="H624" s="10">
        <v>45467</v>
      </c>
      <c r="I624" s="30">
        <v>0.10416666666666667</v>
      </c>
      <c r="J624" s="5" t="s">
        <v>14</v>
      </c>
      <c r="K624" s="22"/>
    </row>
    <row r="625" spans="2:11">
      <c r="B625" s="4" t="s">
        <v>138</v>
      </c>
      <c r="C625" s="5">
        <f>IF(B625&lt;&gt;"",VLOOKUP(B625,Projetos!E:F,2,0),"")</f>
        <v>30</v>
      </c>
      <c r="D625" s="5"/>
      <c r="E625" s="4" t="s">
        <v>153</v>
      </c>
      <c r="F625" s="69" t="s">
        <v>215</v>
      </c>
      <c r="G625" s="5" t="s">
        <v>20</v>
      </c>
      <c r="H625" s="10">
        <v>45467</v>
      </c>
      <c r="I625" s="30">
        <v>0.10416666666666667</v>
      </c>
      <c r="J625" s="5" t="s">
        <v>14</v>
      </c>
      <c r="K625" s="22"/>
    </row>
    <row r="626" spans="2:11" ht="30">
      <c r="B626" s="4" t="s">
        <v>128</v>
      </c>
      <c r="C626" s="5">
        <f>IF(B626&lt;&gt;"",VLOOKUP(B626,Projetos!E:F,2,0),"")</f>
        <v>23</v>
      </c>
      <c r="D626" s="5"/>
      <c r="E626" s="4" t="s">
        <v>49</v>
      </c>
      <c r="F626" s="69" t="s">
        <v>216</v>
      </c>
      <c r="G626" s="5" t="s">
        <v>20</v>
      </c>
      <c r="H626" s="10">
        <v>45467</v>
      </c>
      <c r="I626" s="30">
        <v>8.3333333333333329E-2</v>
      </c>
      <c r="J626" s="5" t="s">
        <v>14</v>
      </c>
      <c r="K626" s="22"/>
    </row>
    <row r="627" spans="2:11" ht="30">
      <c r="B627" s="4" t="s">
        <v>138</v>
      </c>
      <c r="C627" s="5">
        <f>IF(B627&lt;&gt;"",VLOOKUP(B627,Projetos!E:F,2,0),"")</f>
        <v>30</v>
      </c>
      <c r="D627" s="5"/>
      <c r="E627" s="4" t="s">
        <v>153</v>
      </c>
      <c r="F627" s="69" t="s">
        <v>214</v>
      </c>
      <c r="G627" s="5" t="s">
        <v>13</v>
      </c>
      <c r="H627" s="10">
        <v>45467</v>
      </c>
      <c r="I627" s="30">
        <v>0.10416666666666667</v>
      </c>
      <c r="J627" s="5" t="s">
        <v>14</v>
      </c>
      <c r="K627" s="22"/>
    </row>
    <row r="628" spans="2:11">
      <c r="B628" s="4" t="s">
        <v>138</v>
      </c>
      <c r="C628" s="5">
        <f>IF(B628&lt;&gt;"",VLOOKUP(B628,Projetos!E:F,2,0),"")</f>
        <v>30</v>
      </c>
      <c r="D628" s="5"/>
      <c r="E628" s="4" t="s">
        <v>153</v>
      </c>
      <c r="F628" s="69" t="s">
        <v>215</v>
      </c>
      <c r="G628" s="5" t="s">
        <v>13</v>
      </c>
      <c r="H628" s="10">
        <v>45467</v>
      </c>
      <c r="I628" s="30">
        <v>0.10416666666666667</v>
      </c>
      <c r="J628" s="5" t="s">
        <v>14</v>
      </c>
      <c r="K628" s="22"/>
    </row>
    <row r="629" spans="2:11">
      <c r="B629" s="4" t="s">
        <v>118</v>
      </c>
      <c r="C629" s="5">
        <f>IF(B629&lt;&gt;"",VLOOKUP(B629,Projetos!E:F,2,0),"")</f>
        <v>21</v>
      </c>
      <c r="D629" s="5"/>
      <c r="E629" s="4" t="s">
        <v>119</v>
      </c>
      <c r="F629" s="69" t="s">
        <v>217</v>
      </c>
      <c r="G629" s="5" t="s">
        <v>28</v>
      </c>
      <c r="H629" s="10">
        <v>45467</v>
      </c>
      <c r="I629" s="30">
        <v>2.0833333333333332E-2</v>
      </c>
      <c r="J629" s="5" t="s">
        <v>14</v>
      </c>
      <c r="K629" s="22"/>
    </row>
    <row r="630" spans="2:11">
      <c r="B630" s="4" t="s">
        <v>118</v>
      </c>
      <c r="C630" s="5">
        <f>IF(B630&lt;&gt;"",VLOOKUP(B630,Projetos!E:F,2,0),"")</f>
        <v>21</v>
      </c>
      <c r="D630" s="5"/>
      <c r="E630" s="4" t="s">
        <v>49</v>
      </c>
      <c r="F630" s="69" t="s">
        <v>218</v>
      </c>
      <c r="G630" s="5" t="s">
        <v>28</v>
      </c>
      <c r="H630" s="10">
        <v>45467</v>
      </c>
      <c r="I630" s="30">
        <v>6.25E-2</v>
      </c>
      <c r="J630" s="5" t="s">
        <v>14</v>
      </c>
      <c r="K630" s="22"/>
    </row>
    <row r="631" spans="2:11" ht="30">
      <c r="B631" s="4" t="s">
        <v>138</v>
      </c>
      <c r="C631" s="5">
        <f>IF(B631&lt;&gt;"",VLOOKUP(B631,Projetos!E:F,2,0),"")</f>
        <v>30</v>
      </c>
      <c r="D631" s="5"/>
      <c r="E631" s="4" t="s">
        <v>49</v>
      </c>
      <c r="F631" s="69" t="s">
        <v>219</v>
      </c>
      <c r="G631" s="5" t="s">
        <v>28</v>
      </c>
      <c r="H631" s="10">
        <v>45467</v>
      </c>
      <c r="I631" s="30">
        <v>0.16666666666666666</v>
      </c>
      <c r="J631" s="5" t="s">
        <v>14</v>
      </c>
      <c r="K631" s="22"/>
    </row>
    <row r="632" spans="2:11" ht="30">
      <c r="B632" s="4" t="s">
        <v>156</v>
      </c>
      <c r="C632" s="5">
        <f>IF(B632&lt;&gt;"",VLOOKUP(B632,Projetos!E:F,2,0),"")</f>
        <v>3</v>
      </c>
      <c r="D632" s="5"/>
      <c r="E632" s="4" t="s">
        <v>16</v>
      </c>
      <c r="F632" s="69" t="s">
        <v>220</v>
      </c>
      <c r="G632" s="5" t="s">
        <v>174</v>
      </c>
      <c r="H632" s="10">
        <v>45467</v>
      </c>
      <c r="I632" s="30">
        <v>0.16666666666666666</v>
      </c>
      <c r="J632" s="5" t="s">
        <v>14</v>
      </c>
      <c r="K632" s="22"/>
    </row>
    <row r="633" spans="2:11">
      <c r="B633" s="4" t="s">
        <v>156</v>
      </c>
      <c r="C633" s="5">
        <f>IF(B633&lt;&gt;"",VLOOKUP(B633,Projetos!E:F,2,0),"")</f>
        <v>3</v>
      </c>
      <c r="D633" s="5"/>
      <c r="E633" s="4" t="s">
        <v>158</v>
      </c>
      <c r="F633" s="69" t="s">
        <v>221</v>
      </c>
      <c r="G633" s="5" t="s">
        <v>174</v>
      </c>
      <c r="H633" s="10">
        <v>45467</v>
      </c>
      <c r="I633" s="30">
        <v>0.16666666666666666</v>
      </c>
      <c r="J633" s="5" t="s">
        <v>14</v>
      </c>
      <c r="K633" s="22"/>
    </row>
    <row r="634" spans="2:11" ht="30">
      <c r="B634" s="4" t="s">
        <v>205</v>
      </c>
      <c r="C634" s="5">
        <f>IF(B634&lt;&gt;"",VLOOKUP(B634,Projetos!E:F,2,0),"")</f>
        <v>34</v>
      </c>
      <c r="D634" s="5"/>
      <c r="E634" s="4" t="s">
        <v>26</v>
      </c>
      <c r="F634" s="69" t="s">
        <v>222</v>
      </c>
      <c r="G634" s="5" t="s">
        <v>66</v>
      </c>
      <c r="H634" s="10">
        <v>45467</v>
      </c>
      <c r="I634" s="21">
        <v>0.14583333333333334</v>
      </c>
      <c r="J634" s="5" t="s">
        <v>14</v>
      </c>
      <c r="K634" s="22"/>
    </row>
    <row r="635" spans="2:11" ht="30">
      <c r="B635" s="4" t="s">
        <v>156</v>
      </c>
      <c r="C635" s="5">
        <f>IF(B635&lt;&gt;"",VLOOKUP(B635,Projetos!E:F,2,0),"")</f>
        <v>3</v>
      </c>
      <c r="D635" s="5"/>
      <c r="E635" s="4" t="s">
        <v>16</v>
      </c>
      <c r="F635" s="69" t="s">
        <v>220</v>
      </c>
      <c r="G635" s="5" t="s">
        <v>174</v>
      </c>
      <c r="H635" s="10">
        <v>45468</v>
      </c>
      <c r="I635" s="30">
        <v>0.16666666666666666</v>
      </c>
      <c r="J635" s="5" t="s">
        <v>14</v>
      </c>
      <c r="K635" s="22"/>
    </row>
    <row r="636" spans="2:11">
      <c r="B636" s="4" t="s">
        <v>156</v>
      </c>
      <c r="C636" s="5">
        <f>IF(B636&lt;&gt;"",VLOOKUP(B636,Projetos!E:F,2,0),"")</f>
        <v>3</v>
      </c>
      <c r="D636" s="5"/>
      <c r="E636" s="4" t="s">
        <v>158</v>
      </c>
      <c r="F636" s="69" t="s">
        <v>221</v>
      </c>
      <c r="G636" s="5" t="s">
        <v>174</v>
      </c>
      <c r="H636" s="10">
        <v>45468</v>
      </c>
      <c r="I636" s="30">
        <v>0.16666666666666666</v>
      </c>
      <c r="J636" s="5" t="s">
        <v>14</v>
      </c>
      <c r="K636" s="22"/>
    </row>
    <row r="637" spans="2:11">
      <c r="B637" s="4" t="s">
        <v>138</v>
      </c>
      <c r="C637" s="5">
        <f>IF(B637&lt;&gt;"",VLOOKUP(B637,Projetos!E:F,2,0),"")</f>
        <v>30</v>
      </c>
      <c r="D637" s="5"/>
      <c r="E637" s="4" t="s">
        <v>119</v>
      </c>
      <c r="F637" s="69" t="s">
        <v>223</v>
      </c>
      <c r="G637" s="5" t="s">
        <v>42</v>
      </c>
      <c r="H637" s="10">
        <v>45468</v>
      </c>
      <c r="I637" s="30">
        <v>0.16666666666666699</v>
      </c>
      <c r="J637" s="5" t="s">
        <v>14</v>
      </c>
      <c r="K637" s="22"/>
    </row>
    <row r="638" spans="2:11" ht="30">
      <c r="B638" s="4" t="s">
        <v>138</v>
      </c>
      <c r="C638" s="5">
        <f>IF(B638&lt;&gt;"",VLOOKUP(B638,Projetos!E:F,2,0),"")</f>
        <v>30</v>
      </c>
      <c r="D638" s="5"/>
      <c r="E638" s="4" t="s">
        <v>26</v>
      </c>
      <c r="F638" s="69" t="s">
        <v>224</v>
      </c>
      <c r="G638" s="5" t="s">
        <v>34</v>
      </c>
      <c r="H638" s="10">
        <v>45468</v>
      </c>
      <c r="I638" s="30">
        <v>0.16666666666666666</v>
      </c>
      <c r="J638" s="5" t="s">
        <v>14</v>
      </c>
      <c r="K638" s="22"/>
    </row>
    <row r="639" spans="2:11" ht="30">
      <c r="B639" s="4" t="s">
        <v>128</v>
      </c>
      <c r="C639" s="5">
        <f>IF(B639&lt;&gt;"",VLOOKUP(B639,Projetos!E:F,2,0),"")</f>
        <v>23</v>
      </c>
      <c r="D639" s="5"/>
      <c r="E639" s="4" t="s">
        <v>40</v>
      </c>
      <c r="F639" s="69" t="s">
        <v>225</v>
      </c>
      <c r="G639" s="5" t="s">
        <v>42</v>
      </c>
      <c r="H639" s="10">
        <v>45468</v>
      </c>
      <c r="I639" s="30">
        <v>8.3333333333333329E-2</v>
      </c>
      <c r="J639" s="5" t="s">
        <v>14</v>
      </c>
      <c r="K639" s="22"/>
    </row>
    <row r="640" spans="2:11">
      <c r="B640" s="4" t="s">
        <v>150</v>
      </c>
      <c r="C640" s="5">
        <f>IF(B640&lt;&gt;"",VLOOKUP(B640,Projetos!E:F,2,0),"")</f>
        <v>22</v>
      </c>
      <c r="D640" s="5"/>
      <c r="E640" s="4" t="s">
        <v>40</v>
      </c>
      <c r="F640" s="69" t="s">
        <v>226</v>
      </c>
      <c r="G640" s="5" t="s">
        <v>42</v>
      </c>
      <c r="H640" s="10">
        <v>45468</v>
      </c>
      <c r="I640" s="30">
        <v>8.3333333333333329E-2</v>
      </c>
      <c r="J640" s="5" t="s">
        <v>14</v>
      </c>
      <c r="K640" s="22"/>
    </row>
    <row r="641" spans="2:11">
      <c r="B641" s="4" t="s">
        <v>122</v>
      </c>
      <c r="C641" s="5">
        <v>24</v>
      </c>
      <c r="D641" s="5"/>
      <c r="E641" s="4" t="s">
        <v>26</v>
      </c>
      <c r="F641" s="69" t="s">
        <v>227</v>
      </c>
      <c r="G641" s="5" t="s">
        <v>28</v>
      </c>
      <c r="H641" s="10">
        <v>45468</v>
      </c>
      <c r="I641" s="30">
        <v>0.27083333333333331</v>
      </c>
      <c r="J641" s="5" t="s">
        <v>14</v>
      </c>
      <c r="K641" s="22"/>
    </row>
    <row r="642" spans="2:11" ht="30">
      <c r="B642" s="4" t="s">
        <v>128</v>
      </c>
      <c r="C642" s="5">
        <v>23</v>
      </c>
      <c r="D642" s="5"/>
      <c r="E642" s="4" t="s">
        <v>49</v>
      </c>
      <c r="F642" s="69" t="s">
        <v>228</v>
      </c>
      <c r="G642" s="5" t="s">
        <v>178</v>
      </c>
      <c r="H642" s="10">
        <v>45468</v>
      </c>
      <c r="I642" s="30">
        <v>8.3333333333333329E-2</v>
      </c>
      <c r="J642" s="5" t="s">
        <v>14</v>
      </c>
      <c r="K642" s="22"/>
    </row>
    <row r="643" spans="2:11" ht="30">
      <c r="B643" s="4" t="s">
        <v>138</v>
      </c>
      <c r="C643" s="5">
        <f>IF(B643&lt;&gt;"",VLOOKUP(B643,Projetos!E:F,2,0),"")</f>
        <v>30</v>
      </c>
      <c r="D643" s="5"/>
      <c r="E643" s="4" t="s">
        <v>26</v>
      </c>
      <c r="F643" s="69" t="s">
        <v>229</v>
      </c>
      <c r="G643" s="5" t="s">
        <v>20</v>
      </c>
      <c r="H643" s="10">
        <v>45468</v>
      </c>
      <c r="I643" s="30">
        <v>0.16666666666666666</v>
      </c>
      <c r="J643" s="5" t="s">
        <v>14</v>
      </c>
      <c r="K643" s="22"/>
    </row>
    <row r="644" spans="2:11" ht="30">
      <c r="B644" s="4" t="s">
        <v>128</v>
      </c>
      <c r="C644" s="5">
        <f>IF(B644&lt;&gt;"",VLOOKUP(B644,Projetos!E:F,2,0),"")</f>
        <v>23</v>
      </c>
      <c r="D644" s="5"/>
      <c r="E644" s="4" t="s">
        <v>49</v>
      </c>
      <c r="F644" s="69" t="s">
        <v>216</v>
      </c>
      <c r="G644" s="5" t="s">
        <v>20</v>
      </c>
      <c r="H644" s="10">
        <v>45468</v>
      </c>
      <c r="I644" s="30">
        <v>4.1666666666666664E-2</v>
      </c>
      <c r="J644" s="5" t="s">
        <v>14</v>
      </c>
      <c r="K644" s="22"/>
    </row>
    <row r="645" spans="2:11">
      <c r="B645" s="4" t="s">
        <v>156</v>
      </c>
      <c r="C645" s="5">
        <f>IF(B645&lt;&gt;"",VLOOKUP(B645,Projetos!E:F,2,0),"")</f>
        <v>3</v>
      </c>
      <c r="D645" s="5"/>
      <c r="E645" s="4" t="s">
        <v>49</v>
      </c>
      <c r="F645" s="69" t="s">
        <v>230</v>
      </c>
      <c r="G645" s="5" t="s">
        <v>13</v>
      </c>
      <c r="H645" s="10">
        <v>45468</v>
      </c>
      <c r="I645" s="30">
        <v>0.25</v>
      </c>
      <c r="J645" s="5" t="s">
        <v>14</v>
      </c>
      <c r="K645" s="22"/>
    </row>
    <row r="646" spans="2:11">
      <c r="B646" s="4" t="s">
        <v>231</v>
      </c>
      <c r="C646" s="5">
        <f>IF(B646&lt;&gt;"",VLOOKUP(B646,Projetos!E:F,2,0),"")</f>
        <v>35</v>
      </c>
      <c r="D646" s="5"/>
      <c r="E646" s="4" t="s">
        <v>49</v>
      </c>
      <c r="F646" s="69" t="s">
        <v>232</v>
      </c>
      <c r="G646" s="5" t="s">
        <v>64</v>
      </c>
      <c r="H646" s="10">
        <v>45468</v>
      </c>
      <c r="I646" s="21">
        <v>0.125</v>
      </c>
      <c r="J646" s="5" t="s">
        <v>14</v>
      </c>
      <c r="K646" s="22"/>
    </row>
    <row r="647" spans="2:11">
      <c r="B647" s="4" t="s">
        <v>205</v>
      </c>
      <c r="C647" s="5">
        <f>IF(B647&lt;&gt;"",VLOOKUP(B647,Projetos!E:F,2,0),"")</f>
        <v>34</v>
      </c>
      <c r="D647" s="5"/>
      <c r="E647" s="4" t="s">
        <v>21</v>
      </c>
      <c r="F647" s="69" t="s">
        <v>233</v>
      </c>
      <c r="G647" s="5" t="s">
        <v>64</v>
      </c>
      <c r="H647" s="10">
        <v>45468</v>
      </c>
      <c r="I647" s="21">
        <v>2.0833333333333332E-2</v>
      </c>
      <c r="J647" s="5" t="s">
        <v>14</v>
      </c>
      <c r="K647" s="22"/>
    </row>
    <row r="648" spans="2:11">
      <c r="B648" s="4" t="s">
        <v>136</v>
      </c>
      <c r="C648" s="5">
        <f>IF(B648&lt;&gt;"",VLOOKUP(B648,Projetos!E:F,2,0),"")</f>
        <v>25</v>
      </c>
      <c r="D648" s="5"/>
      <c r="E648" s="4" t="s">
        <v>40</v>
      </c>
      <c r="F648" s="69" t="s">
        <v>119</v>
      </c>
      <c r="G648" s="5" t="s">
        <v>64</v>
      </c>
      <c r="H648" s="10">
        <v>45468</v>
      </c>
      <c r="I648" s="21">
        <v>6.9444444444444441E-3</v>
      </c>
      <c r="J648" s="5" t="s">
        <v>14</v>
      </c>
      <c r="K648" s="22"/>
    </row>
    <row r="649" spans="2:11" ht="30">
      <c r="B649" s="4" t="s">
        <v>205</v>
      </c>
      <c r="C649" s="5">
        <f>IF(B649&lt;&gt;"",VLOOKUP(B649,Projetos!E:F,2,0),"")</f>
        <v>34</v>
      </c>
      <c r="D649" s="5"/>
      <c r="E649" s="4" t="s">
        <v>26</v>
      </c>
      <c r="F649" s="69" t="s">
        <v>222</v>
      </c>
      <c r="G649" s="5" t="s">
        <v>66</v>
      </c>
      <c r="H649" s="10">
        <v>45468</v>
      </c>
      <c r="I649" s="21">
        <v>0.14583333333333334</v>
      </c>
      <c r="J649" s="5" t="s">
        <v>14</v>
      </c>
      <c r="K649" s="22"/>
    </row>
    <row r="650" spans="2:11">
      <c r="B650" s="4" t="s">
        <v>125</v>
      </c>
      <c r="C650" s="5">
        <f>IF(B650&lt;&gt;"",VLOOKUP(B650,Projetos!E:F,2,0),"")</f>
        <v>16</v>
      </c>
      <c r="D650" s="5"/>
      <c r="E650" s="4" t="s">
        <v>49</v>
      </c>
      <c r="F650" s="69" t="s">
        <v>234</v>
      </c>
      <c r="G650" s="5" t="s">
        <v>66</v>
      </c>
      <c r="H650" s="10">
        <v>45468</v>
      </c>
      <c r="I650" s="21">
        <v>4.1666666666666664E-2</v>
      </c>
      <c r="J650" s="5" t="s">
        <v>14</v>
      </c>
      <c r="K650" s="22"/>
    </row>
    <row r="651" spans="2:11">
      <c r="B651" s="4" t="s">
        <v>122</v>
      </c>
      <c r="C651" s="5">
        <f>IF(B651&lt;&gt;"",VLOOKUP(B651,Projetos!E:F,2,0),"")</f>
        <v>24</v>
      </c>
      <c r="D651" s="5"/>
      <c r="E651" s="4" t="s">
        <v>49</v>
      </c>
      <c r="F651" s="75" t="s">
        <v>235</v>
      </c>
      <c r="G651" s="5" t="s">
        <v>28</v>
      </c>
      <c r="H651" s="10">
        <v>45469</v>
      </c>
      <c r="I651" s="21">
        <v>0.25</v>
      </c>
      <c r="J651" s="5" t="s">
        <v>14</v>
      </c>
      <c r="K651" s="22"/>
    </row>
    <row r="652" spans="2:11" ht="30">
      <c r="B652" s="4" t="s">
        <v>156</v>
      </c>
      <c r="C652" s="5">
        <f>IF(B652&lt;&gt;"",VLOOKUP(B652,Projetos!E:F,2,0),"")</f>
        <v>3</v>
      </c>
      <c r="D652" s="5"/>
      <c r="E652" s="4" t="s">
        <v>16</v>
      </c>
      <c r="F652" s="69" t="s">
        <v>220</v>
      </c>
      <c r="G652" s="5" t="s">
        <v>174</v>
      </c>
      <c r="H652" s="10">
        <v>45469</v>
      </c>
      <c r="I652" s="30">
        <v>0.16666666666666666</v>
      </c>
      <c r="J652" s="5" t="s">
        <v>14</v>
      </c>
      <c r="K652" s="22"/>
    </row>
    <row r="653" spans="2:11">
      <c r="B653" s="4" t="s">
        <v>156</v>
      </c>
      <c r="C653" s="5">
        <f>IF(B653&lt;&gt;"",VLOOKUP(B653,Projetos!E:F,2,0),"")</f>
        <v>3</v>
      </c>
      <c r="D653" s="5"/>
      <c r="E653" s="4" t="s">
        <v>158</v>
      </c>
      <c r="F653" s="69" t="s">
        <v>221</v>
      </c>
      <c r="G653" s="5" t="s">
        <v>174</v>
      </c>
      <c r="H653" s="10">
        <v>45469</v>
      </c>
      <c r="I653" s="30">
        <v>0.16666666666666666</v>
      </c>
      <c r="J653" s="5" t="s">
        <v>14</v>
      </c>
      <c r="K653" s="22"/>
    </row>
    <row r="654" spans="2:11" ht="30">
      <c r="B654" s="4" t="s">
        <v>138</v>
      </c>
      <c r="C654" s="5">
        <f>IF(B654&lt;&gt;"",VLOOKUP(B654,Projetos!E:F,2,0),"")</f>
        <v>30</v>
      </c>
      <c r="D654" s="5"/>
      <c r="E654" s="4" t="s">
        <v>119</v>
      </c>
      <c r="F654" s="69" t="s">
        <v>236</v>
      </c>
      <c r="G654" s="5" t="s">
        <v>42</v>
      </c>
      <c r="H654" s="10">
        <v>45469</v>
      </c>
      <c r="I654" s="30">
        <v>0.125</v>
      </c>
      <c r="J654" s="5" t="s">
        <v>14</v>
      </c>
      <c r="K654" s="22"/>
    </row>
    <row r="655" spans="2:11" ht="30">
      <c r="B655" s="4" t="s">
        <v>150</v>
      </c>
      <c r="C655" s="5">
        <f>IF(B655&lt;&gt;"",VLOOKUP(B655,Projetos!E:F,2,0),"")</f>
        <v>22</v>
      </c>
      <c r="D655" s="5"/>
      <c r="E655" s="4" t="s">
        <v>40</v>
      </c>
      <c r="F655" s="69" t="s">
        <v>237</v>
      </c>
      <c r="G655" s="5" t="s">
        <v>42</v>
      </c>
      <c r="H655" s="10">
        <v>45469</v>
      </c>
      <c r="I655" s="30">
        <v>0.20833333333333334</v>
      </c>
      <c r="J655" s="5" t="s">
        <v>14</v>
      </c>
      <c r="K655" s="22"/>
    </row>
    <row r="656" spans="2:11">
      <c r="B656" s="4" t="s">
        <v>156</v>
      </c>
      <c r="C656" s="5">
        <f>IF(B656&lt;&gt;"",VLOOKUP(B656,Projetos!E:F,2,0),"")</f>
        <v>3</v>
      </c>
      <c r="D656" s="5"/>
      <c r="E656" s="4" t="s">
        <v>49</v>
      </c>
      <c r="F656" s="69" t="s">
        <v>238</v>
      </c>
      <c r="G656" s="5" t="s">
        <v>13</v>
      </c>
      <c r="H656" s="10">
        <v>45469</v>
      </c>
      <c r="I656" s="30">
        <v>0.25</v>
      </c>
      <c r="J656" s="5" t="s">
        <v>14</v>
      </c>
      <c r="K656" s="22"/>
    </row>
    <row r="657" spans="2:11">
      <c r="B657" s="4" t="s">
        <v>125</v>
      </c>
      <c r="C657" s="5">
        <v>16</v>
      </c>
      <c r="D657" s="5"/>
      <c r="E657" s="4" t="s">
        <v>49</v>
      </c>
      <c r="F657" s="69" t="s">
        <v>234</v>
      </c>
      <c r="G657" s="5" t="s">
        <v>66</v>
      </c>
      <c r="H657" s="10">
        <v>45469</v>
      </c>
      <c r="I657" s="21">
        <v>0.125</v>
      </c>
      <c r="J657" s="5" t="s">
        <v>14</v>
      </c>
      <c r="K657" s="22"/>
    </row>
    <row r="658" spans="2:11">
      <c r="B658" s="4" t="s">
        <v>205</v>
      </c>
      <c r="C658" s="5">
        <f>IF(B658&lt;&gt;"",VLOOKUP(B658,Projetos!E:F,2,0),"")</f>
        <v>34</v>
      </c>
      <c r="D658" s="5"/>
      <c r="E658" s="4" t="s">
        <v>23</v>
      </c>
      <c r="F658" s="69" t="s">
        <v>239</v>
      </c>
      <c r="G658" s="5" t="s">
        <v>66</v>
      </c>
      <c r="H658" s="10">
        <v>45469</v>
      </c>
      <c r="I658" s="21">
        <v>0.125</v>
      </c>
      <c r="J658" s="5" t="s">
        <v>14</v>
      </c>
      <c r="K658" s="22"/>
    </row>
    <row r="659" spans="2:11">
      <c r="B659" s="4" t="s">
        <v>125</v>
      </c>
      <c r="C659" s="5">
        <f>IF(B659&lt;&gt;"",VLOOKUP(B659,Projetos!E:F,2,0),"")</f>
        <v>16</v>
      </c>
      <c r="D659" s="5"/>
      <c r="E659" s="4" t="s">
        <v>40</v>
      </c>
      <c r="F659" s="69" t="s">
        <v>240</v>
      </c>
      <c r="G659" s="5" t="s">
        <v>64</v>
      </c>
      <c r="H659" s="10">
        <v>45469</v>
      </c>
      <c r="I659" s="21">
        <v>2.0833333333333332E-2</v>
      </c>
      <c r="J659" s="5" t="s">
        <v>14</v>
      </c>
      <c r="K659" s="22"/>
    </row>
    <row r="660" spans="2:11" ht="30">
      <c r="B660" s="4" t="s">
        <v>136</v>
      </c>
      <c r="C660" s="5">
        <f>IF(B660&lt;&gt;"",VLOOKUP(B660,Projetos!E:F,2,0),"")</f>
        <v>25</v>
      </c>
      <c r="D660" s="5"/>
      <c r="E660" s="4" t="s">
        <v>49</v>
      </c>
      <c r="F660" s="69" t="s">
        <v>241</v>
      </c>
      <c r="G660" s="5" t="s">
        <v>64</v>
      </c>
      <c r="H660" s="10">
        <v>45469</v>
      </c>
      <c r="I660" s="30">
        <v>0.125</v>
      </c>
      <c r="J660" s="5" t="s">
        <v>14</v>
      </c>
      <c r="K660" s="22"/>
    </row>
    <row r="661" spans="2:11" ht="30">
      <c r="B661" s="4" t="s">
        <v>205</v>
      </c>
      <c r="C661" s="5">
        <f>IF(B661&lt;&gt;"",VLOOKUP(B661,Projetos!E:F,2,0),"")</f>
        <v>34</v>
      </c>
      <c r="D661" s="5"/>
      <c r="E661" s="4" t="s">
        <v>23</v>
      </c>
      <c r="F661" s="69" t="s">
        <v>222</v>
      </c>
      <c r="G661" s="5" t="s">
        <v>64</v>
      </c>
      <c r="H661" s="10">
        <v>45469</v>
      </c>
      <c r="I661" s="30">
        <v>0.10416666666666667</v>
      </c>
      <c r="J661" s="5" t="s">
        <v>14</v>
      </c>
      <c r="K661" s="22"/>
    </row>
    <row r="662" spans="2:11">
      <c r="B662" s="4" t="s">
        <v>192</v>
      </c>
      <c r="C662" s="5">
        <f>IF(B662&lt;&gt;"",VLOOKUP(B662,Projetos!E:F,2,0),"")</f>
        <v>32</v>
      </c>
      <c r="D662" s="5"/>
      <c r="E662" s="4" t="s">
        <v>193</v>
      </c>
      <c r="F662" s="69" t="s">
        <v>242</v>
      </c>
      <c r="G662" s="5" t="s">
        <v>20</v>
      </c>
      <c r="H662" s="10">
        <v>45469</v>
      </c>
      <c r="I662" s="30">
        <v>0.16666666666666666</v>
      </c>
      <c r="J662" s="5" t="s">
        <v>14</v>
      </c>
      <c r="K662" s="22"/>
    </row>
    <row r="663" spans="2:11" ht="30">
      <c r="B663" s="4" t="s">
        <v>128</v>
      </c>
      <c r="C663" s="5">
        <f>IF(B663&lt;&gt;"",VLOOKUP(B663,Projetos!E:F,2,0),"")</f>
        <v>23</v>
      </c>
      <c r="D663" s="5"/>
      <c r="E663" s="4" t="s">
        <v>49</v>
      </c>
      <c r="F663" s="69" t="s">
        <v>216</v>
      </c>
      <c r="G663" s="5" t="s">
        <v>20</v>
      </c>
      <c r="H663" s="10">
        <v>45469</v>
      </c>
      <c r="I663" s="30">
        <v>4.1666666666666664E-2</v>
      </c>
      <c r="J663" s="5" t="s">
        <v>14</v>
      </c>
      <c r="K663" s="22"/>
    </row>
    <row r="664" spans="2:11" ht="30">
      <c r="B664" s="4" t="s">
        <v>33</v>
      </c>
      <c r="C664" s="5">
        <f>IF(B664&lt;&gt;"",VLOOKUP(B664,Projetos!E:F,2,0),"")</f>
        <v>18</v>
      </c>
      <c r="D664" s="5"/>
      <c r="E664" s="4" t="s">
        <v>26</v>
      </c>
      <c r="F664" s="69" t="s">
        <v>243</v>
      </c>
      <c r="G664" s="5" t="s">
        <v>34</v>
      </c>
      <c r="H664" s="10">
        <v>45469</v>
      </c>
      <c r="I664" s="30">
        <v>0.29166666666666669</v>
      </c>
      <c r="J664" s="5" t="s">
        <v>14</v>
      </c>
      <c r="K664" s="22"/>
    </row>
    <row r="665" spans="2:11" ht="30">
      <c r="B665" s="4" t="s">
        <v>156</v>
      </c>
      <c r="C665" s="5">
        <f>IF(B665&lt;&gt;"",VLOOKUP(B665,Projetos!E:F,2,0),"")</f>
        <v>3</v>
      </c>
      <c r="D665" s="5"/>
      <c r="E665" s="4" t="s">
        <v>16</v>
      </c>
      <c r="F665" s="69" t="s">
        <v>220</v>
      </c>
      <c r="G665" s="5" t="s">
        <v>174</v>
      </c>
      <c r="H665" s="10">
        <v>45470</v>
      </c>
      <c r="I665" s="30">
        <v>0.16666666666666666</v>
      </c>
      <c r="J665" s="5" t="s">
        <v>14</v>
      </c>
      <c r="K665" s="22"/>
    </row>
    <row r="666" spans="2:11">
      <c r="B666" s="4" t="s">
        <v>156</v>
      </c>
      <c r="C666" s="5">
        <f>IF(B666&lt;&gt;"",VLOOKUP(B666,Projetos!E:F,2,0),"")</f>
        <v>3</v>
      </c>
      <c r="D666" s="5"/>
      <c r="E666" s="4" t="s">
        <v>158</v>
      </c>
      <c r="F666" s="69" t="s">
        <v>221</v>
      </c>
      <c r="G666" s="5" t="s">
        <v>174</v>
      </c>
      <c r="H666" s="10">
        <v>45470</v>
      </c>
      <c r="I666" s="30">
        <v>0.16666666666666666</v>
      </c>
      <c r="J666" s="5" t="s">
        <v>14</v>
      </c>
      <c r="K666" s="22"/>
    </row>
    <row r="667" spans="2:11">
      <c r="B667" s="4" t="s">
        <v>150</v>
      </c>
      <c r="C667" s="5">
        <f>IF(B667&lt;&gt;"",VLOOKUP(B667,Projetos!E:F,2,0),"")</f>
        <v>22</v>
      </c>
      <c r="D667" s="5"/>
      <c r="E667" s="4" t="s">
        <v>40</v>
      </c>
      <c r="F667" s="69" t="s">
        <v>244</v>
      </c>
      <c r="G667" s="5" t="s">
        <v>42</v>
      </c>
      <c r="H667" s="10">
        <v>45470</v>
      </c>
      <c r="I667" s="30">
        <v>0.29166666666666669</v>
      </c>
      <c r="J667" s="5" t="s">
        <v>14</v>
      </c>
      <c r="K667" s="22"/>
    </row>
    <row r="668" spans="2:11" ht="30">
      <c r="B668" s="4" t="s">
        <v>122</v>
      </c>
      <c r="C668" s="5">
        <f>IF(B668&lt;&gt;"",VLOOKUP(B668,Projetos!E:F,2,0),"")</f>
        <v>24</v>
      </c>
      <c r="D668" s="5"/>
      <c r="E668" s="4" t="s">
        <v>26</v>
      </c>
      <c r="F668" s="75" t="s">
        <v>245</v>
      </c>
      <c r="G668" s="5" t="s">
        <v>28</v>
      </c>
      <c r="H668" s="10">
        <v>45470</v>
      </c>
      <c r="I668" s="30">
        <v>0.29166666666666669</v>
      </c>
      <c r="J668" s="5" t="s">
        <v>14</v>
      </c>
      <c r="K668" s="22"/>
    </row>
    <row r="669" spans="2:11">
      <c r="B669" s="4" t="s">
        <v>33</v>
      </c>
      <c r="C669" s="5">
        <f>IF(B669&lt;&gt;"",VLOOKUP(B669,Projetos!E:F,2,0),"")</f>
        <v>18</v>
      </c>
      <c r="D669" s="5"/>
      <c r="E669" s="4" t="s">
        <v>31</v>
      </c>
      <c r="F669" s="69" t="s">
        <v>246</v>
      </c>
      <c r="G669" s="5" t="s">
        <v>42</v>
      </c>
      <c r="H669" s="10">
        <v>45470</v>
      </c>
      <c r="I669" s="30">
        <v>4.1666666666666664E-2</v>
      </c>
      <c r="J669" s="5" t="s">
        <v>14</v>
      </c>
      <c r="K669" s="22"/>
    </row>
    <row r="670" spans="2:11">
      <c r="B670" s="4" t="s">
        <v>205</v>
      </c>
      <c r="C670" s="5">
        <f>IF(B670&lt;&gt;"",VLOOKUP(B670,Projetos!E:F,2,0),"")</f>
        <v>34</v>
      </c>
      <c r="D670" s="5"/>
      <c r="E670" s="4" t="s">
        <v>247</v>
      </c>
      <c r="F670" s="69" t="s">
        <v>248</v>
      </c>
      <c r="G670" s="5" t="s">
        <v>66</v>
      </c>
      <c r="H670" s="10">
        <v>45470</v>
      </c>
      <c r="I670" s="21">
        <v>0.16666666666666666</v>
      </c>
      <c r="J670" s="5" t="s">
        <v>14</v>
      </c>
      <c r="K670" s="22"/>
    </row>
    <row r="671" spans="2:11">
      <c r="B671" s="4" t="s">
        <v>136</v>
      </c>
      <c r="C671" s="5">
        <f>IF(B671&lt;&gt;"",VLOOKUP(B671,Projetos!E:F,2,0),"")</f>
        <v>25</v>
      </c>
      <c r="D671" s="5"/>
      <c r="E671" s="4" t="s">
        <v>65</v>
      </c>
      <c r="F671" s="69" t="s">
        <v>249</v>
      </c>
      <c r="G671" s="5" t="s">
        <v>66</v>
      </c>
      <c r="H671" s="10">
        <v>45470</v>
      </c>
      <c r="I671" s="21">
        <v>4.1666666666666664E-2</v>
      </c>
      <c r="J671" s="5" t="s">
        <v>14</v>
      </c>
      <c r="K671" s="22"/>
    </row>
    <row r="672" spans="2:11">
      <c r="B672" s="4" t="s">
        <v>136</v>
      </c>
      <c r="C672" s="5">
        <f>IF(B672&lt;&gt;"",VLOOKUP(B672,Projetos!E:F,2,0),"")</f>
        <v>25</v>
      </c>
      <c r="D672" s="5"/>
      <c r="E672" s="4" t="s">
        <v>49</v>
      </c>
      <c r="F672" s="69" t="s">
        <v>250</v>
      </c>
      <c r="G672" s="5" t="s">
        <v>64</v>
      </c>
      <c r="H672" s="10">
        <v>45470</v>
      </c>
      <c r="I672" s="21">
        <v>2.0833333333333332E-2</v>
      </c>
      <c r="J672" s="5" t="s">
        <v>14</v>
      </c>
      <c r="K672" s="22"/>
    </row>
    <row r="673" spans="2:11">
      <c r="B673" s="4" t="s">
        <v>205</v>
      </c>
      <c r="C673" s="5">
        <f>IF(B673&lt;&gt;"",VLOOKUP(B673,Projetos!E:F,2,0),"")</f>
        <v>34</v>
      </c>
      <c r="D673" s="5"/>
      <c r="E673" s="4" t="s">
        <v>247</v>
      </c>
      <c r="F673" s="69" t="s">
        <v>251</v>
      </c>
      <c r="G673" s="5" t="s">
        <v>64</v>
      </c>
      <c r="H673" s="10">
        <v>45470</v>
      </c>
      <c r="I673" s="21">
        <v>0.11805555555555555</v>
      </c>
      <c r="J673" s="5" t="s">
        <v>14</v>
      </c>
      <c r="K673" s="22"/>
    </row>
    <row r="674" spans="2:11" ht="30">
      <c r="B674" s="4" t="s">
        <v>136</v>
      </c>
      <c r="C674" s="5">
        <f>IF(B674&lt;&gt;"",VLOOKUP(B674,Projetos!E:F,2,0),"")</f>
        <v>25</v>
      </c>
      <c r="D674" s="5"/>
      <c r="E674" s="4" t="s">
        <v>65</v>
      </c>
      <c r="F674" s="69" t="s">
        <v>252</v>
      </c>
      <c r="G674" s="5" t="s">
        <v>64</v>
      </c>
      <c r="H674" s="10">
        <v>45470</v>
      </c>
      <c r="I674" s="21">
        <v>4.1666666666666664E-2</v>
      </c>
      <c r="J674" s="5" t="s">
        <v>14</v>
      </c>
      <c r="K674" s="22"/>
    </row>
    <row r="675" spans="2:11" ht="30">
      <c r="B675" s="4" t="s">
        <v>138</v>
      </c>
      <c r="C675" s="5">
        <f>IF(B675&lt;&gt;"",VLOOKUP(B675,Projetos!E:F,2,0),"")</f>
        <v>30</v>
      </c>
      <c r="D675" s="5"/>
      <c r="E675" s="4" t="s">
        <v>16</v>
      </c>
      <c r="F675" s="69" t="s">
        <v>253</v>
      </c>
      <c r="G675" s="5" t="s">
        <v>64</v>
      </c>
      <c r="H675" s="10">
        <v>45470</v>
      </c>
      <c r="I675" s="21">
        <v>7.3611111111111113E-2</v>
      </c>
      <c r="J675" s="5" t="s">
        <v>14</v>
      </c>
      <c r="K675" s="22"/>
    </row>
    <row r="676" spans="2:11" ht="30">
      <c r="B676" s="4" t="s">
        <v>33</v>
      </c>
      <c r="C676" s="5">
        <f>IF(B676&lt;&gt;"",VLOOKUP(B676,Projetos!E:F,2,0),"")</f>
        <v>18</v>
      </c>
      <c r="D676" s="5"/>
      <c r="E676" s="4" t="s">
        <v>31</v>
      </c>
      <c r="F676" s="69" t="s">
        <v>254</v>
      </c>
      <c r="G676" s="5" t="s">
        <v>34</v>
      </c>
      <c r="H676" s="10">
        <v>45470</v>
      </c>
      <c r="I676" s="30">
        <v>0.29166666666666669</v>
      </c>
      <c r="J676" s="5" t="s">
        <v>14</v>
      </c>
      <c r="K676" s="22"/>
    </row>
    <row r="677" spans="2:11" ht="30">
      <c r="B677" s="4" t="s">
        <v>156</v>
      </c>
      <c r="C677" s="5">
        <f>IF(B677&lt;&gt;"",VLOOKUP(B677,Projetos!E:F,2,0),"")</f>
        <v>3</v>
      </c>
      <c r="D677" s="5"/>
      <c r="E677" s="4" t="s">
        <v>16</v>
      </c>
      <c r="F677" s="69" t="s">
        <v>220</v>
      </c>
      <c r="G677" s="5" t="s">
        <v>174</v>
      </c>
      <c r="H677" s="10">
        <v>45471</v>
      </c>
      <c r="I677" s="30">
        <v>0.16666666666666666</v>
      </c>
      <c r="J677" s="5" t="s">
        <v>14</v>
      </c>
      <c r="K677" s="22"/>
    </row>
    <row r="678" spans="2:11">
      <c r="B678" s="4" t="s">
        <v>156</v>
      </c>
      <c r="C678" s="5">
        <f>IF(B678&lt;&gt;"",VLOOKUP(B678,Projetos!E:F,2,0),"")</f>
        <v>3</v>
      </c>
      <c r="D678" s="5"/>
      <c r="E678" s="4" t="s">
        <v>158</v>
      </c>
      <c r="F678" s="69" t="s">
        <v>221</v>
      </c>
      <c r="G678" s="5" t="s">
        <v>174</v>
      </c>
      <c r="H678" s="10">
        <v>45471</v>
      </c>
      <c r="I678" s="30">
        <v>0.16666666666666666</v>
      </c>
      <c r="J678" s="5" t="s">
        <v>14</v>
      </c>
      <c r="K678" s="22"/>
    </row>
    <row r="679" spans="2:11">
      <c r="B679" s="4" t="s">
        <v>150</v>
      </c>
      <c r="C679" s="5">
        <f>IF(B679&lt;&gt;"",VLOOKUP(B679,Projetos!E:F,2,0),"")</f>
        <v>22</v>
      </c>
      <c r="D679" s="5"/>
      <c r="E679" s="4" t="s">
        <v>40</v>
      </c>
      <c r="F679" s="69" t="s">
        <v>255</v>
      </c>
      <c r="G679" s="5" t="s">
        <v>42</v>
      </c>
      <c r="H679" s="10">
        <v>45471</v>
      </c>
      <c r="I679" s="30">
        <v>0.16666666666666666</v>
      </c>
      <c r="J679" s="5" t="s">
        <v>14</v>
      </c>
      <c r="K679" s="22"/>
    </row>
    <row r="680" spans="2:11">
      <c r="B680" s="4" t="s">
        <v>33</v>
      </c>
      <c r="C680" s="5">
        <f>IF(B680&lt;&gt;"",VLOOKUP(B680,Projetos!E:F,2,0),"")</f>
        <v>18</v>
      </c>
      <c r="D680" s="5"/>
      <c r="E680" s="4" t="s">
        <v>31</v>
      </c>
      <c r="F680" s="69" t="s">
        <v>256</v>
      </c>
      <c r="G680" s="5" t="s">
        <v>42</v>
      </c>
      <c r="H680" s="10">
        <v>45471</v>
      </c>
      <c r="I680" s="30">
        <v>0.125</v>
      </c>
      <c r="J680" s="5" t="s">
        <v>14</v>
      </c>
      <c r="K680" s="22"/>
    </row>
    <row r="681" spans="2:11">
      <c r="B681" s="4" t="s">
        <v>138</v>
      </c>
      <c r="C681" s="5">
        <f>IF(B681&lt;&gt;"",VLOOKUP(B681,Projetos!E:F,2,0),"")</f>
        <v>30</v>
      </c>
      <c r="D681" s="5"/>
      <c r="E681" s="4" t="s">
        <v>26</v>
      </c>
      <c r="F681" s="69" t="s">
        <v>257</v>
      </c>
      <c r="G681" s="5" t="s">
        <v>28</v>
      </c>
      <c r="H681" s="10">
        <v>45471</v>
      </c>
      <c r="I681" s="30">
        <v>0.16666666666666666</v>
      </c>
      <c r="J681" s="5" t="s">
        <v>14</v>
      </c>
      <c r="K681" s="22"/>
    </row>
    <row r="682" spans="2:11">
      <c r="B682" s="4" t="s">
        <v>138</v>
      </c>
      <c r="C682" s="5">
        <f>IF(B682&lt;&gt;"",VLOOKUP(B682,Projetos!E:F,2,0),"")</f>
        <v>30</v>
      </c>
      <c r="D682" s="5"/>
      <c r="E682" s="4" t="s">
        <v>21</v>
      </c>
      <c r="F682" s="76" t="s">
        <v>258</v>
      </c>
      <c r="G682" s="5" t="s">
        <v>28</v>
      </c>
      <c r="H682" s="10">
        <v>45471</v>
      </c>
      <c r="I682" s="30">
        <v>0.16666666666666666</v>
      </c>
      <c r="J682" s="5" t="s">
        <v>14</v>
      </c>
      <c r="K682" s="22"/>
    </row>
    <row r="683" spans="2:11" ht="30">
      <c r="B683" s="4" t="s">
        <v>33</v>
      </c>
      <c r="C683" s="5">
        <f>IF(B683&lt;&gt;"",VLOOKUP(B683,Projetos!E:F,2,0),"")</f>
        <v>18</v>
      </c>
      <c r="D683" s="5"/>
      <c r="E683" s="4" t="s">
        <v>31</v>
      </c>
      <c r="F683" s="69" t="s">
        <v>259</v>
      </c>
      <c r="G683" s="5" t="s">
        <v>34</v>
      </c>
      <c r="H683" s="10">
        <v>45471</v>
      </c>
      <c r="I683" s="30">
        <v>8.3333333333333329E-2</v>
      </c>
      <c r="J683" s="5" t="s">
        <v>14</v>
      </c>
      <c r="K683" s="22"/>
    </row>
    <row r="684" spans="2:11" ht="30">
      <c r="B684" s="4" t="s">
        <v>260</v>
      </c>
      <c r="C684" s="5">
        <f>IF(B684&lt;&gt;"",VLOOKUP(B684,Projetos!E:F,2,0),"")</f>
        <v>19</v>
      </c>
      <c r="D684" s="5"/>
      <c r="E684" s="4" t="s">
        <v>26</v>
      </c>
      <c r="F684" s="69" t="s">
        <v>261</v>
      </c>
      <c r="G684" s="5" t="s">
        <v>34</v>
      </c>
      <c r="H684" s="10">
        <v>45471</v>
      </c>
      <c r="I684" s="30">
        <v>4.1666666666666664E-2</v>
      </c>
      <c r="J684" s="5" t="s">
        <v>14</v>
      </c>
      <c r="K684" s="22"/>
    </row>
    <row r="685" spans="2:11" ht="30">
      <c r="B685" s="4" t="s">
        <v>33</v>
      </c>
      <c r="C685" s="5">
        <f>IF(B685&lt;&gt;"",VLOOKUP(B685,Projetos!E:F,2,0),"")</f>
        <v>18</v>
      </c>
      <c r="D685" s="5"/>
      <c r="E685" s="4" t="s">
        <v>31</v>
      </c>
      <c r="F685" s="69" t="s">
        <v>262</v>
      </c>
      <c r="G685" s="5" t="s">
        <v>34</v>
      </c>
      <c r="H685" s="10">
        <v>45471</v>
      </c>
      <c r="I685" s="30">
        <v>0.16666666666666666</v>
      </c>
      <c r="J685" s="5" t="s">
        <v>14</v>
      </c>
      <c r="K685" s="22"/>
    </row>
    <row r="686" spans="2:11">
      <c r="B686" s="4" t="s">
        <v>260</v>
      </c>
      <c r="C686" s="5">
        <f>IF(B686&lt;&gt;"",VLOOKUP(B686,Projetos!E:F,2,0),"")</f>
        <v>19</v>
      </c>
      <c r="D686" s="5"/>
      <c r="E686" s="4" t="s">
        <v>119</v>
      </c>
      <c r="F686" s="69" t="s">
        <v>263</v>
      </c>
      <c r="G686" s="5" t="s">
        <v>42</v>
      </c>
      <c r="H686" s="10">
        <v>45471</v>
      </c>
      <c r="I686" s="30">
        <v>4.1666666666666664E-2</v>
      </c>
      <c r="J686" s="5" t="s">
        <v>14</v>
      </c>
      <c r="K686" s="22"/>
    </row>
    <row r="687" spans="2:11" ht="30">
      <c r="B687" s="4" t="s">
        <v>33</v>
      </c>
      <c r="C687" s="5">
        <f>IF(B687&lt;&gt;"",VLOOKUP(B687,Projetos!E:F,2,0),"")</f>
        <v>18</v>
      </c>
      <c r="D687" s="5"/>
      <c r="E687" s="4" t="s">
        <v>40</v>
      </c>
      <c r="F687" s="69" t="s">
        <v>264</v>
      </c>
      <c r="G687" s="5" t="s">
        <v>42</v>
      </c>
      <c r="H687" s="10">
        <v>45474</v>
      </c>
      <c r="I687" s="30">
        <v>8.3333333333333329E-2</v>
      </c>
      <c r="J687" s="5" t="s">
        <v>14</v>
      </c>
      <c r="K687" s="22"/>
    </row>
    <row r="688" spans="2:11" ht="30">
      <c r="B688" s="4" t="s">
        <v>118</v>
      </c>
      <c r="C688" s="5">
        <f>IF(B688&lt;&gt;"",VLOOKUP(B688,Projetos!E:F,2,0),"")</f>
        <v>21</v>
      </c>
      <c r="D688" s="5"/>
      <c r="E688" s="4" t="s">
        <v>119</v>
      </c>
      <c r="F688" s="75" t="s">
        <v>265</v>
      </c>
      <c r="G688" s="5" t="s">
        <v>28</v>
      </c>
      <c r="H688" s="10">
        <v>45474</v>
      </c>
      <c r="I688" s="30">
        <v>0.33333333333333331</v>
      </c>
      <c r="J688" s="5" t="s">
        <v>14</v>
      </c>
      <c r="K688" s="22"/>
    </row>
    <row r="689" spans="2:11">
      <c r="B689" s="4" t="s">
        <v>150</v>
      </c>
      <c r="C689" s="5">
        <f>IF(B689&lt;&gt;"",VLOOKUP(B689,Projetos!E:F,2,0),"")</f>
        <v>22</v>
      </c>
      <c r="D689" s="5"/>
      <c r="E689" s="4" t="s">
        <v>40</v>
      </c>
      <c r="F689" s="69" t="s">
        <v>266</v>
      </c>
      <c r="G689" s="5" t="s">
        <v>42</v>
      </c>
      <c r="H689" s="10">
        <v>45474</v>
      </c>
      <c r="I689" s="30">
        <v>0.25</v>
      </c>
      <c r="J689" s="5" t="s">
        <v>14</v>
      </c>
      <c r="K689" s="22"/>
    </row>
    <row r="690" spans="2:11">
      <c r="B690" s="4" t="s">
        <v>125</v>
      </c>
      <c r="C690" s="5">
        <f>IF(B690&lt;&gt;"",VLOOKUP(B690,Projetos!E:F,2,0),"")</f>
        <v>16</v>
      </c>
      <c r="D690" s="5"/>
      <c r="E690" s="4" t="s">
        <v>40</v>
      </c>
      <c r="F690" s="69" t="s">
        <v>234</v>
      </c>
      <c r="G690" s="5" t="s">
        <v>66</v>
      </c>
      <c r="H690" s="10">
        <v>45474</v>
      </c>
      <c r="I690" s="30">
        <v>4.1666666666666664E-2</v>
      </c>
      <c r="J690" s="5" t="s">
        <v>14</v>
      </c>
      <c r="K690" s="22"/>
    </row>
    <row r="691" spans="2:11">
      <c r="B691" s="4" t="s">
        <v>267</v>
      </c>
      <c r="C691" s="5">
        <f>IF(B691&lt;&gt;"",VLOOKUP(B691,Projetos!E:F,2,0),"")</f>
        <v>38</v>
      </c>
      <c r="D691" s="5"/>
      <c r="E691" s="4" t="s">
        <v>31</v>
      </c>
      <c r="F691" s="69" t="s">
        <v>268</v>
      </c>
      <c r="G691" s="5" t="s">
        <v>66</v>
      </c>
      <c r="H691" s="10">
        <v>45474</v>
      </c>
      <c r="I691" s="30">
        <v>0.125</v>
      </c>
      <c r="J691" s="5" t="s">
        <v>14</v>
      </c>
      <c r="K691" s="22"/>
    </row>
    <row r="692" spans="2:11">
      <c r="B692" s="4" t="s">
        <v>267</v>
      </c>
      <c r="C692" s="5">
        <f>IF(B692&lt;&gt;"",VLOOKUP(B692,Projetos!E:F,2,0),"")</f>
        <v>38</v>
      </c>
      <c r="D692" s="5"/>
      <c r="E692" s="4" t="s">
        <v>23</v>
      </c>
      <c r="F692" s="69" t="s">
        <v>269</v>
      </c>
      <c r="G692" s="5" t="s">
        <v>66</v>
      </c>
      <c r="H692" s="10">
        <v>45474</v>
      </c>
      <c r="I692" s="30">
        <v>0.125</v>
      </c>
      <c r="J692" s="5" t="s">
        <v>14</v>
      </c>
      <c r="K692" s="22"/>
    </row>
    <row r="693" spans="2:11">
      <c r="B693" s="4" t="s">
        <v>267</v>
      </c>
      <c r="C693" s="5">
        <f>IF(B693&lt;&gt;"",VLOOKUP(B693,Projetos!E:F,2,0),"")</f>
        <v>38</v>
      </c>
      <c r="D693" s="5"/>
      <c r="E693" s="4" t="s">
        <v>25</v>
      </c>
      <c r="F693" s="69" t="s">
        <v>270</v>
      </c>
      <c r="G693" s="5" t="s">
        <v>20</v>
      </c>
      <c r="H693" s="10">
        <v>45474</v>
      </c>
      <c r="I693" s="30">
        <v>4.1666666666666664E-2</v>
      </c>
      <c r="J693" s="5" t="s">
        <v>14</v>
      </c>
      <c r="K693" s="22"/>
    </row>
    <row r="694" spans="2:11">
      <c r="B694" s="4" t="s">
        <v>156</v>
      </c>
      <c r="C694" s="5">
        <f>IF(B694&lt;&gt;"",VLOOKUP(B694,Projetos!E:F,2,0),"")</f>
        <v>3</v>
      </c>
      <c r="D694" s="5"/>
      <c r="E694" s="4" t="s">
        <v>23</v>
      </c>
      <c r="F694" s="69" t="s">
        <v>271</v>
      </c>
      <c r="G694" s="5" t="s">
        <v>20</v>
      </c>
      <c r="H694" s="10">
        <v>45474</v>
      </c>
      <c r="I694" s="30">
        <v>0.16666666666666666</v>
      </c>
      <c r="J694" s="5" t="s">
        <v>14</v>
      </c>
      <c r="K694" s="22"/>
    </row>
    <row r="695" spans="2:11">
      <c r="B695" s="4" t="s">
        <v>140</v>
      </c>
      <c r="C695" s="5">
        <f>IF(B695&lt;&gt;"",VLOOKUP(B695,Projetos!E:F,2,0),"")</f>
        <v>39</v>
      </c>
      <c r="D695" s="5"/>
      <c r="E695" s="4" t="s">
        <v>16</v>
      </c>
      <c r="F695" s="69" t="s">
        <v>272</v>
      </c>
      <c r="G695" s="5" t="s">
        <v>20</v>
      </c>
      <c r="H695" s="10">
        <v>45474</v>
      </c>
      <c r="I695" s="30">
        <v>8.3333333333333329E-2</v>
      </c>
      <c r="J695" s="5" t="s">
        <v>14</v>
      </c>
      <c r="K695" s="22"/>
    </row>
    <row r="696" spans="2:11">
      <c r="B696" s="4" t="s">
        <v>140</v>
      </c>
      <c r="C696" s="5">
        <f>IF(B696&lt;&gt;"",VLOOKUP(B696,Projetos!E:F,2,0),"")</f>
        <v>39</v>
      </c>
      <c r="D696" s="5"/>
      <c r="E696" s="4" t="s">
        <v>16</v>
      </c>
      <c r="F696" s="69" t="s">
        <v>272</v>
      </c>
      <c r="G696" s="5" t="s">
        <v>19</v>
      </c>
      <c r="H696" s="10">
        <v>45474</v>
      </c>
      <c r="I696" s="30">
        <v>8.3333333333333329E-2</v>
      </c>
      <c r="J696" s="5" t="s">
        <v>14</v>
      </c>
      <c r="K696" s="22"/>
    </row>
    <row r="697" spans="2:11">
      <c r="B697" s="4" t="s">
        <v>138</v>
      </c>
      <c r="C697" s="5">
        <f>IF(B697&lt;&gt;"",VLOOKUP(B697,Projetos!E:F,2,0),"")</f>
        <v>30</v>
      </c>
      <c r="D697" s="5"/>
      <c r="E697" s="4" t="s">
        <v>16</v>
      </c>
      <c r="F697" s="69" t="s">
        <v>273</v>
      </c>
      <c r="G697" s="5" t="s">
        <v>20</v>
      </c>
      <c r="H697" s="10">
        <v>45474</v>
      </c>
      <c r="I697" s="30">
        <v>6.25E-2</v>
      </c>
      <c r="J697" s="5" t="s">
        <v>14</v>
      </c>
      <c r="K697" s="22"/>
    </row>
    <row r="698" spans="2:11">
      <c r="B698" s="4" t="s">
        <v>138</v>
      </c>
      <c r="C698" s="5">
        <f>IF(B698&lt;&gt;"",VLOOKUP(B698,Projetos!E:F,2,0),"")</f>
        <v>30</v>
      </c>
      <c r="D698" s="5"/>
      <c r="E698" s="4" t="s">
        <v>16</v>
      </c>
      <c r="F698" s="69" t="s">
        <v>273</v>
      </c>
      <c r="G698" s="5" t="s">
        <v>178</v>
      </c>
      <c r="H698" s="10">
        <v>45474</v>
      </c>
      <c r="I698" s="30">
        <v>6.25E-2</v>
      </c>
      <c r="J698" s="5" t="s">
        <v>14</v>
      </c>
      <c r="K698" s="22"/>
    </row>
    <row r="699" spans="2:11">
      <c r="B699" s="4" t="s">
        <v>156</v>
      </c>
      <c r="C699" s="5">
        <f>IF(B699&lt;&gt;"",VLOOKUP(B699,Projetos!E:F,2,0),"")</f>
        <v>3</v>
      </c>
      <c r="D699" s="5"/>
      <c r="E699" s="4" t="s">
        <v>23</v>
      </c>
      <c r="F699" s="69" t="s">
        <v>274</v>
      </c>
      <c r="G699" s="5" t="s">
        <v>174</v>
      </c>
      <c r="H699" s="10">
        <v>45474</v>
      </c>
      <c r="I699" s="30">
        <v>0.16666666666666666</v>
      </c>
      <c r="J699" s="5" t="s">
        <v>14</v>
      </c>
      <c r="K699" s="22"/>
    </row>
    <row r="700" spans="2:11">
      <c r="B700" s="4" t="s">
        <v>150</v>
      </c>
      <c r="C700" s="5">
        <f>IF(B700&lt;&gt;"",VLOOKUP(B700,Projetos!E:F,2,0),"")</f>
        <v>22</v>
      </c>
      <c r="D700" s="5"/>
      <c r="E700" s="4" t="s">
        <v>26</v>
      </c>
      <c r="F700" s="69" t="s">
        <v>275</v>
      </c>
      <c r="G700" s="5" t="s">
        <v>42</v>
      </c>
      <c r="H700" s="10">
        <v>45475</v>
      </c>
      <c r="I700" s="30">
        <v>0.16666666666666666</v>
      </c>
      <c r="J700" s="5" t="s">
        <v>14</v>
      </c>
      <c r="K700" s="22"/>
    </row>
    <row r="701" spans="2:11">
      <c r="B701" s="4" t="s">
        <v>150</v>
      </c>
      <c r="C701" s="5">
        <f>IF(B701&lt;&gt;"",VLOOKUP(B701,Projetos!E:F,2,0),"")</f>
        <v>22</v>
      </c>
      <c r="D701" s="5"/>
      <c r="E701" s="4" t="s">
        <v>40</v>
      </c>
      <c r="F701" s="69" t="s">
        <v>276</v>
      </c>
      <c r="G701" s="5" t="s">
        <v>42</v>
      </c>
      <c r="H701" s="10">
        <v>45475</v>
      </c>
      <c r="I701" s="30">
        <v>0.16666666666666666</v>
      </c>
      <c r="J701" s="5" t="s">
        <v>14</v>
      </c>
      <c r="K701" s="22"/>
    </row>
    <row r="702" spans="2:11">
      <c r="B702" s="4" t="s">
        <v>33</v>
      </c>
      <c r="C702" s="5">
        <f>IF(B702&lt;&gt;"",VLOOKUP(B702,Projetos!E:F,2,0),"")</f>
        <v>18</v>
      </c>
      <c r="D702" s="5"/>
      <c r="E702" s="4" t="s">
        <v>40</v>
      </c>
      <c r="F702" s="69" t="s">
        <v>277</v>
      </c>
      <c r="G702" s="5" t="s">
        <v>42</v>
      </c>
      <c r="H702" s="10">
        <v>45475</v>
      </c>
      <c r="I702" s="30">
        <v>4.1666666666666664E-2</v>
      </c>
      <c r="J702" s="5" t="s">
        <v>14</v>
      </c>
      <c r="K702" s="22"/>
    </row>
    <row r="703" spans="2:11" ht="30">
      <c r="B703" s="4" t="s">
        <v>33</v>
      </c>
      <c r="C703" s="5">
        <f>IF(B703&lt;&gt;"",VLOOKUP(B703,Projetos!E:F,2,0),"")</f>
        <v>18</v>
      </c>
      <c r="D703" s="5"/>
      <c r="E703" s="4" t="s">
        <v>31</v>
      </c>
      <c r="F703" s="69" t="s">
        <v>278</v>
      </c>
      <c r="G703" s="5" t="s">
        <v>34</v>
      </c>
      <c r="H703" s="10">
        <v>45474</v>
      </c>
      <c r="I703" s="30">
        <v>0.29166666666666669</v>
      </c>
      <c r="J703" s="5" t="s">
        <v>14</v>
      </c>
      <c r="K703" s="22"/>
    </row>
    <row r="704" spans="2:11">
      <c r="B704" s="4" t="s">
        <v>150</v>
      </c>
      <c r="C704" s="5">
        <f>IF(B704&lt;&gt;"",VLOOKUP(B704,Projetos!E:F,2,0),"")</f>
        <v>22</v>
      </c>
      <c r="D704" s="5"/>
      <c r="E704" s="4" t="s">
        <v>31</v>
      </c>
      <c r="F704" s="69" t="s">
        <v>279</v>
      </c>
      <c r="G704" s="5" t="s">
        <v>34</v>
      </c>
      <c r="H704" s="10">
        <v>45475</v>
      </c>
      <c r="I704" s="30">
        <v>0.16666666666666666</v>
      </c>
      <c r="J704" s="5" t="s">
        <v>14</v>
      </c>
      <c r="K704" s="22"/>
    </row>
    <row r="705" spans="2:11">
      <c r="B705" s="4" t="s">
        <v>138</v>
      </c>
      <c r="C705" s="5">
        <f>IF(B705&lt;&gt;"",VLOOKUP(B705,Projetos!E:F,2,0),"")</f>
        <v>30</v>
      </c>
      <c r="D705" s="5"/>
      <c r="E705" s="4" t="s">
        <v>16</v>
      </c>
      <c r="F705" s="69" t="s">
        <v>280</v>
      </c>
      <c r="G705" s="5" t="s">
        <v>20</v>
      </c>
      <c r="H705" s="10">
        <v>45475</v>
      </c>
      <c r="I705" s="30">
        <v>4.1666666666666664E-2</v>
      </c>
      <c r="J705" s="5" t="s">
        <v>14</v>
      </c>
      <c r="K705" s="22"/>
    </row>
    <row r="706" spans="2:11">
      <c r="B706" s="4" t="s">
        <v>138</v>
      </c>
      <c r="C706" s="5">
        <f>IF(B706&lt;&gt;"",VLOOKUP(B706,Projetos!E:F,2,0),"")</f>
        <v>30</v>
      </c>
      <c r="D706" s="5"/>
      <c r="E706" s="4" t="s">
        <v>16</v>
      </c>
      <c r="F706" s="69" t="s">
        <v>280</v>
      </c>
      <c r="G706" s="5" t="s">
        <v>174</v>
      </c>
      <c r="H706" s="10">
        <v>45475</v>
      </c>
      <c r="I706" s="30">
        <v>4.1666666666666664E-2</v>
      </c>
      <c r="J706" s="5" t="s">
        <v>14</v>
      </c>
      <c r="K706" s="22"/>
    </row>
    <row r="707" spans="2:11">
      <c r="B707" s="4" t="s">
        <v>138</v>
      </c>
      <c r="C707" s="5">
        <f>IF(B707&lt;&gt;"",VLOOKUP(B707,Projetos!E:F,2,0),"")</f>
        <v>30</v>
      </c>
      <c r="D707" s="5"/>
      <c r="E707" s="4" t="s">
        <v>16</v>
      </c>
      <c r="F707" s="69" t="s">
        <v>280</v>
      </c>
      <c r="G707" s="5" t="s">
        <v>19</v>
      </c>
      <c r="H707" s="10">
        <v>45475</v>
      </c>
      <c r="I707" s="30">
        <v>4.1666666666666664E-2</v>
      </c>
      <c r="J707" s="5" t="s">
        <v>14</v>
      </c>
      <c r="K707" s="22"/>
    </row>
    <row r="708" spans="2:11">
      <c r="B708" s="4" t="s">
        <v>128</v>
      </c>
      <c r="C708" s="5">
        <f>IF(B708&lt;&gt;"",VLOOKUP(B708,Projetos!E:F,2,0),"")</f>
        <v>23</v>
      </c>
      <c r="D708" s="5"/>
      <c r="E708" s="4" t="s">
        <v>49</v>
      </c>
      <c r="F708" s="69" t="s">
        <v>281</v>
      </c>
      <c r="G708" s="5" t="s">
        <v>20</v>
      </c>
      <c r="H708" s="10">
        <v>45475</v>
      </c>
      <c r="I708" s="30">
        <v>0.10416666666666667</v>
      </c>
      <c r="J708" s="5" t="s">
        <v>14</v>
      </c>
      <c r="K708" s="22"/>
    </row>
    <row r="709" spans="2:11">
      <c r="B709" s="4" t="s">
        <v>125</v>
      </c>
      <c r="C709" s="5">
        <f>IF(B709&lt;&gt;"",VLOOKUP(B709,Projetos!E:F,2,0),"")</f>
        <v>16</v>
      </c>
      <c r="D709" s="5"/>
      <c r="E709" s="4" t="s">
        <v>49</v>
      </c>
      <c r="F709" s="69" t="s">
        <v>70</v>
      </c>
      <c r="G709" s="5" t="s">
        <v>20</v>
      </c>
      <c r="H709" s="10">
        <v>45475</v>
      </c>
      <c r="I709" s="30">
        <v>2.0833333333333332E-2</v>
      </c>
      <c r="J709" s="5" t="s">
        <v>14</v>
      </c>
      <c r="K709" s="22"/>
    </row>
    <row r="710" spans="2:11">
      <c r="B710" s="4" t="s">
        <v>99</v>
      </c>
      <c r="C710" s="5">
        <f>IF(B710&lt;&gt;"",VLOOKUP(B710,Projetos!E:F,2,0),"")</f>
        <v>17</v>
      </c>
      <c r="D710" s="5"/>
      <c r="E710" s="4" t="s">
        <v>25</v>
      </c>
      <c r="F710" s="69" t="s">
        <v>70</v>
      </c>
      <c r="G710" s="5" t="s">
        <v>20</v>
      </c>
      <c r="H710" s="10">
        <v>45475</v>
      </c>
      <c r="I710" s="30">
        <v>2.0833333333333332E-2</v>
      </c>
      <c r="J710" s="5" t="s">
        <v>14</v>
      </c>
      <c r="K710" s="22"/>
    </row>
    <row r="711" spans="2:11" ht="30">
      <c r="B711" s="4" t="s">
        <v>138</v>
      </c>
      <c r="C711" s="5">
        <f>IF(B711&lt;&gt;"",VLOOKUP(B711,Projetos!E:F,2,0),"")</f>
        <v>30</v>
      </c>
      <c r="D711" s="5"/>
      <c r="E711" s="4" t="s">
        <v>16</v>
      </c>
      <c r="F711" s="69" t="s">
        <v>282</v>
      </c>
      <c r="G711" s="5" t="s">
        <v>20</v>
      </c>
      <c r="H711" s="10">
        <v>45475</v>
      </c>
      <c r="I711" s="30">
        <v>2.0833333333333332E-2</v>
      </c>
      <c r="J711" s="5" t="s">
        <v>14</v>
      </c>
      <c r="K711" s="22"/>
    </row>
    <row r="712" spans="2:11" ht="30">
      <c r="B712" s="4" t="s">
        <v>122</v>
      </c>
      <c r="C712" s="5">
        <f>IF(B712&lt;&gt;"",VLOOKUP(B712,Projetos!E:F,2,0),"")</f>
        <v>24</v>
      </c>
      <c r="D712" s="5"/>
      <c r="E712" s="4" t="s">
        <v>31</v>
      </c>
      <c r="F712" s="75" t="s">
        <v>283</v>
      </c>
      <c r="G712" s="5" t="s">
        <v>28</v>
      </c>
      <c r="H712" s="10">
        <v>45475</v>
      </c>
      <c r="I712" s="30">
        <v>0.33333333333333331</v>
      </c>
      <c r="J712" s="5" t="s">
        <v>14</v>
      </c>
      <c r="K712" s="22"/>
    </row>
    <row r="713" spans="2:11">
      <c r="B713" s="4" t="s">
        <v>205</v>
      </c>
      <c r="C713" s="5">
        <f>IF(B713&lt;&gt;"",VLOOKUP(B713,Projetos!E:F,2,0),"")</f>
        <v>34</v>
      </c>
      <c r="D713" s="5"/>
      <c r="E713" s="4" t="s">
        <v>40</v>
      </c>
      <c r="F713" s="69" t="s">
        <v>284</v>
      </c>
      <c r="G713" s="5" t="s">
        <v>66</v>
      </c>
      <c r="H713" s="10">
        <v>45475</v>
      </c>
      <c r="I713" s="21">
        <v>8.3333333333333329E-2</v>
      </c>
      <c r="J713" s="5" t="s">
        <v>14</v>
      </c>
      <c r="K713" s="22"/>
    </row>
    <row r="714" spans="2:11">
      <c r="B714" s="4" t="s">
        <v>205</v>
      </c>
      <c r="C714" s="5">
        <f>IF(B714&lt;&gt;"",VLOOKUP(B714,Projetos!E:F,2,0),"")</f>
        <v>34</v>
      </c>
      <c r="D714" s="5"/>
      <c r="E714" s="4" t="s">
        <v>31</v>
      </c>
      <c r="F714" s="69" t="s">
        <v>285</v>
      </c>
      <c r="G714" s="5" t="s">
        <v>66</v>
      </c>
      <c r="H714" s="10">
        <v>45475</v>
      </c>
      <c r="I714" s="21">
        <v>8.3333333333333329E-2</v>
      </c>
      <c r="J714" s="5" t="s">
        <v>14</v>
      </c>
      <c r="K714" s="22"/>
    </row>
    <row r="715" spans="2:11">
      <c r="B715" s="4" t="s">
        <v>205</v>
      </c>
      <c r="C715" s="5">
        <f>IF(B715&lt;&gt;"",VLOOKUP(B715,Projetos!E:F,2,0),"")</f>
        <v>34</v>
      </c>
      <c r="D715" s="5"/>
      <c r="E715" s="4" t="s">
        <v>65</v>
      </c>
      <c r="F715" s="69" t="s">
        <v>286</v>
      </c>
      <c r="G715" s="5" t="s">
        <v>66</v>
      </c>
      <c r="H715" s="10">
        <v>45475</v>
      </c>
      <c r="I715" s="21">
        <v>4.1666666666666664E-2</v>
      </c>
      <c r="J715" s="5" t="s">
        <v>14</v>
      </c>
      <c r="K715" s="22"/>
    </row>
    <row r="716" spans="2:11" ht="30">
      <c r="B716" s="4" t="s">
        <v>287</v>
      </c>
      <c r="C716" s="5">
        <f>IF(B716&lt;&gt;"",VLOOKUP(B716,Projetos!E:F,2,0),"")</f>
        <v>36</v>
      </c>
      <c r="D716" s="5"/>
      <c r="E716" s="4" t="s">
        <v>288</v>
      </c>
      <c r="F716" s="72" t="s">
        <v>289</v>
      </c>
      <c r="G716" s="5" t="s">
        <v>178</v>
      </c>
      <c r="H716" s="10">
        <v>45352</v>
      </c>
      <c r="I716" s="21">
        <v>0.125</v>
      </c>
      <c r="J716" s="5" t="s">
        <v>14</v>
      </c>
      <c r="K716" s="22"/>
    </row>
    <row r="717" spans="2:11">
      <c r="B717" s="4" t="s">
        <v>287</v>
      </c>
      <c r="C717" s="5">
        <f>IF(B717&lt;&gt;"",VLOOKUP(B717,Projetos!E:F,2,0),"")</f>
        <v>36</v>
      </c>
      <c r="D717" s="5"/>
      <c r="E717" s="4" t="s">
        <v>288</v>
      </c>
      <c r="F717" s="69" t="s">
        <v>290</v>
      </c>
      <c r="G717" s="5" t="s">
        <v>178</v>
      </c>
      <c r="H717" s="10">
        <v>45352</v>
      </c>
      <c r="I717" s="21">
        <v>8.3333333333333329E-2</v>
      </c>
      <c r="J717" s="5" t="s">
        <v>14</v>
      </c>
      <c r="K717" s="22"/>
    </row>
    <row r="718" spans="2:11" ht="30">
      <c r="B718" s="4" t="s">
        <v>136</v>
      </c>
      <c r="C718" s="5">
        <f>IF(B718&lt;&gt;"",VLOOKUP(B718,Projetos!E:F,2,0),"")</f>
        <v>25</v>
      </c>
      <c r="D718" s="5"/>
      <c r="E718" s="4" t="s">
        <v>49</v>
      </c>
      <c r="F718" s="69" t="s">
        <v>291</v>
      </c>
      <c r="G718" s="5" t="s">
        <v>64</v>
      </c>
      <c r="H718" s="10">
        <v>45474</v>
      </c>
      <c r="I718" s="30">
        <v>0.1875</v>
      </c>
      <c r="J718" s="5" t="s">
        <v>14</v>
      </c>
      <c r="K718" s="22"/>
    </row>
    <row r="719" spans="2:11">
      <c r="B719" s="4" t="s">
        <v>231</v>
      </c>
      <c r="C719" s="5">
        <v>35</v>
      </c>
      <c r="D719" s="5"/>
      <c r="E719" s="4" t="s">
        <v>49</v>
      </c>
      <c r="F719" s="69" t="s">
        <v>292</v>
      </c>
      <c r="G719" s="5" t="s">
        <v>64</v>
      </c>
      <c r="H719" s="10">
        <v>45475</v>
      </c>
      <c r="I719" s="30">
        <v>0.125</v>
      </c>
      <c r="J719" s="5" t="s">
        <v>14</v>
      </c>
      <c r="K719" s="22"/>
    </row>
    <row r="720" spans="2:11">
      <c r="B720" s="4" t="s">
        <v>205</v>
      </c>
      <c r="C720" s="5">
        <v>34</v>
      </c>
      <c r="D720" s="5"/>
      <c r="E720" s="4" t="s">
        <v>23</v>
      </c>
      <c r="F720" s="69" t="s">
        <v>293</v>
      </c>
      <c r="G720" s="5" t="s">
        <v>64</v>
      </c>
      <c r="H720" s="10">
        <v>45475</v>
      </c>
      <c r="I720" s="30">
        <v>0.16666666666666666</v>
      </c>
      <c r="J720" s="5" t="s">
        <v>14</v>
      </c>
      <c r="K720" s="22"/>
    </row>
    <row r="721" spans="2:11">
      <c r="B721" s="4" t="s">
        <v>294</v>
      </c>
      <c r="C721" s="5">
        <f>IF(B721&lt;&gt;"",VLOOKUP(B721,Projetos!E:F,2,0),"")</f>
        <v>26</v>
      </c>
      <c r="D721" s="5"/>
      <c r="E721" s="4" t="s">
        <v>40</v>
      </c>
      <c r="F721" s="69" t="s">
        <v>295</v>
      </c>
      <c r="G721" s="5" t="s">
        <v>42</v>
      </c>
      <c r="H721" s="10">
        <v>45475</v>
      </c>
      <c r="I721" s="30">
        <v>0.16666666666666666</v>
      </c>
      <c r="J721" s="5" t="s">
        <v>14</v>
      </c>
      <c r="K721" s="22"/>
    </row>
    <row r="722" spans="2:11">
      <c r="B722" s="4" t="s">
        <v>150</v>
      </c>
      <c r="C722" s="5">
        <f>IF(B722&lt;&gt;"",VLOOKUP(B722,Projetos!E:F,2,0),"")</f>
        <v>22</v>
      </c>
      <c r="D722" s="5"/>
      <c r="E722" s="4" t="s">
        <v>26</v>
      </c>
      <c r="F722" s="69" t="s">
        <v>296</v>
      </c>
      <c r="G722" s="5" t="s">
        <v>42</v>
      </c>
      <c r="H722" s="10">
        <v>45476</v>
      </c>
      <c r="I722" s="30">
        <v>0</v>
      </c>
      <c r="J722" s="5" t="s">
        <v>14</v>
      </c>
      <c r="K722" s="22"/>
    </row>
    <row r="723" spans="2:11">
      <c r="B723" s="4" t="s">
        <v>128</v>
      </c>
      <c r="C723" s="5">
        <f>IF(B723&lt;&gt;"",VLOOKUP(B723,Projetos!E:F,2,0),"")</f>
        <v>23</v>
      </c>
      <c r="D723" s="5"/>
      <c r="E723" s="4" t="s">
        <v>119</v>
      </c>
      <c r="F723" s="69" t="s">
        <v>297</v>
      </c>
      <c r="G723" s="5" t="s">
        <v>42</v>
      </c>
      <c r="H723" s="10">
        <v>45476</v>
      </c>
      <c r="I723" s="30">
        <v>1.0416666666666666E-2</v>
      </c>
      <c r="J723" s="5" t="s">
        <v>14</v>
      </c>
      <c r="K723" s="22"/>
    </row>
    <row r="724" spans="2:11">
      <c r="B724" s="4" t="s">
        <v>205</v>
      </c>
      <c r="C724" s="5">
        <f>IF(B724&lt;&gt;"",VLOOKUP(B724,Projetos!E:F,2,0),"")</f>
        <v>34</v>
      </c>
      <c r="D724" s="5"/>
      <c r="E724" s="4" t="s">
        <v>40</v>
      </c>
      <c r="F724" s="69" t="s">
        <v>284</v>
      </c>
      <c r="G724" s="5" t="s">
        <v>66</v>
      </c>
      <c r="H724" s="10">
        <v>45476</v>
      </c>
      <c r="I724" s="21">
        <v>0.25</v>
      </c>
      <c r="J724" s="5" t="s">
        <v>14</v>
      </c>
      <c r="K724" s="22"/>
    </row>
    <row r="725" spans="2:11">
      <c r="B725" s="4" t="s">
        <v>122</v>
      </c>
      <c r="C725" s="5">
        <f>IF(B725&lt;&gt;"",VLOOKUP(B725,Projetos!E:F,2,0),"")</f>
        <v>24</v>
      </c>
      <c r="D725" s="5"/>
      <c r="E725" s="4" t="s">
        <v>49</v>
      </c>
      <c r="F725" s="75" t="s">
        <v>298</v>
      </c>
      <c r="G725" s="5" t="s">
        <v>28</v>
      </c>
      <c r="H725" s="10">
        <v>45476</v>
      </c>
      <c r="I725" s="21">
        <v>0.25</v>
      </c>
      <c r="J725" s="5" t="s">
        <v>14</v>
      </c>
      <c r="K725" s="22"/>
    </row>
    <row r="726" spans="2:11">
      <c r="B726" s="4" t="s">
        <v>138</v>
      </c>
      <c r="C726" s="5">
        <f>IF(B726&lt;&gt;"",VLOOKUP(B726,Projetos!E:F,2,0),"")</f>
        <v>30</v>
      </c>
      <c r="D726" s="5"/>
      <c r="E726" s="4" t="s">
        <v>26</v>
      </c>
      <c r="F726" s="77" t="s">
        <v>299</v>
      </c>
      <c r="G726" s="5" t="s">
        <v>28</v>
      </c>
      <c r="H726" s="10">
        <v>45476</v>
      </c>
      <c r="I726" s="21">
        <v>8.3333333333333329E-2</v>
      </c>
      <c r="J726" s="5" t="s">
        <v>14</v>
      </c>
      <c r="K726" s="22"/>
    </row>
    <row r="727" spans="2:11" ht="30">
      <c r="B727" s="4" t="s">
        <v>150</v>
      </c>
      <c r="C727" s="5">
        <f>IF(B727&lt;&gt;"",VLOOKUP(B727,Projetos!E:F,2,0),"")</f>
        <v>22</v>
      </c>
      <c r="D727" s="5"/>
      <c r="E727" s="4" t="s">
        <v>31</v>
      </c>
      <c r="F727" s="69" t="s">
        <v>300</v>
      </c>
      <c r="G727" s="5" t="s">
        <v>34</v>
      </c>
      <c r="H727" s="10">
        <v>45476</v>
      </c>
      <c r="I727" s="30">
        <v>0.16666666666666666</v>
      </c>
      <c r="J727" s="5" t="s">
        <v>14</v>
      </c>
      <c r="K727" s="22"/>
    </row>
    <row r="728" spans="2:11" ht="30">
      <c r="B728" s="4" t="s">
        <v>104</v>
      </c>
      <c r="C728" s="5">
        <f>IF(B728&lt;&gt;"",VLOOKUP(B728,Projetos!E:F,2,0),"")</f>
        <v>28</v>
      </c>
      <c r="D728" s="5"/>
      <c r="E728" s="4" t="s">
        <v>31</v>
      </c>
      <c r="F728" s="69" t="s">
        <v>301</v>
      </c>
      <c r="G728" s="5" t="s">
        <v>34</v>
      </c>
      <c r="H728" s="10">
        <v>45476</v>
      </c>
      <c r="I728" s="30">
        <v>0.125</v>
      </c>
      <c r="J728" s="5" t="s">
        <v>14</v>
      </c>
      <c r="K728" s="22"/>
    </row>
    <row r="729" spans="2:11" ht="30">
      <c r="B729" s="4" t="s">
        <v>104</v>
      </c>
      <c r="C729" s="5">
        <f>IF(B729&lt;&gt;"",VLOOKUP(B729,Projetos!E:F,2,0),"")</f>
        <v>28</v>
      </c>
      <c r="D729" s="5"/>
      <c r="E729" s="4" t="s">
        <v>31</v>
      </c>
      <c r="F729" s="69" t="s">
        <v>301</v>
      </c>
      <c r="G729" s="5" t="s">
        <v>34</v>
      </c>
      <c r="H729" s="10">
        <v>45477</v>
      </c>
      <c r="I729" s="30">
        <v>0.29166666666666669</v>
      </c>
      <c r="J729" s="5" t="s">
        <v>14</v>
      </c>
      <c r="K729" s="22"/>
    </row>
    <row r="730" spans="2:11">
      <c r="B730" s="4" t="s">
        <v>138</v>
      </c>
      <c r="C730" s="5">
        <f>IF(B730&lt;&gt;"",VLOOKUP(B730,Projetos!E:F,2,0),"")</f>
        <v>30</v>
      </c>
      <c r="D730" s="5"/>
      <c r="E730" s="4" t="s">
        <v>16</v>
      </c>
      <c r="F730" s="69" t="s">
        <v>302</v>
      </c>
      <c r="G730" s="5" t="s">
        <v>42</v>
      </c>
      <c r="H730" s="10">
        <v>45476</v>
      </c>
      <c r="I730" s="30">
        <v>4.1666666666666664E-2</v>
      </c>
      <c r="J730" s="5" t="s">
        <v>14</v>
      </c>
      <c r="K730" s="22"/>
    </row>
    <row r="731" spans="2:11">
      <c r="B731" s="4" t="s">
        <v>128</v>
      </c>
      <c r="C731" s="5">
        <f>IF(B731&lt;&gt;"",VLOOKUP(B731,Projetos!E:F,2,0),"")</f>
        <v>23</v>
      </c>
      <c r="D731" s="5"/>
      <c r="E731" s="4" t="s">
        <v>49</v>
      </c>
      <c r="F731" s="69" t="s">
        <v>303</v>
      </c>
      <c r="G731" s="5" t="s">
        <v>20</v>
      </c>
      <c r="H731" s="10">
        <v>45477</v>
      </c>
      <c r="I731" s="30">
        <v>0.25</v>
      </c>
      <c r="J731" s="5" t="s">
        <v>14</v>
      </c>
      <c r="K731" s="22"/>
    </row>
    <row r="732" spans="2:11" ht="30">
      <c r="B732" s="4" t="s">
        <v>122</v>
      </c>
      <c r="C732" s="5">
        <f>IF(B732&lt;&gt;"",VLOOKUP(B732,Projetos!E:F,2,0),"")</f>
        <v>24</v>
      </c>
      <c r="D732" s="5"/>
      <c r="E732" s="4" t="s">
        <v>49</v>
      </c>
      <c r="F732" s="75" t="s">
        <v>304</v>
      </c>
      <c r="G732" s="5" t="s">
        <v>28</v>
      </c>
      <c r="H732" s="10">
        <v>45477</v>
      </c>
      <c r="I732" s="30">
        <v>0.25</v>
      </c>
      <c r="J732" s="5" t="s">
        <v>14</v>
      </c>
      <c r="K732" s="22"/>
    </row>
    <row r="733" spans="2:11">
      <c r="B733" s="4" t="s">
        <v>287</v>
      </c>
      <c r="C733" s="5">
        <f>IF(B733&lt;&gt;"",VLOOKUP(B733,Projetos!E:F,2,0),"")</f>
        <v>36</v>
      </c>
      <c r="D733" s="5"/>
      <c r="E733" s="4" t="s">
        <v>193</v>
      </c>
      <c r="F733" s="69" t="s">
        <v>305</v>
      </c>
      <c r="G733" s="5" t="s">
        <v>66</v>
      </c>
      <c r="H733" s="10">
        <v>45477</v>
      </c>
      <c r="I733" s="21">
        <v>3.125E-2</v>
      </c>
      <c r="J733" s="5" t="s">
        <v>14</v>
      </c>
      <c r="K733" s="22"/>
    </row>
    <row r="734" spans="2:11">
      <c r="B734" s="4" t="s">
        <v>205</v>
      </c>
      <c r="C734" s="5">
        <f>IF(B734&lt;&gt;"",VLOOKUP(B734,Projetos!E:F,2,0),"")</f>
        <v>34</v>
      </c>
      <c r="D734" s="5"/>
      <c r="E734" s="4" t="s">
        <v>40</v>
      </c>
      <c r="F734" s="69" t="s">
        <v>184</v>
      </c>
      <c r="G734" s="5" t="s">
        <v>66</v>
      </c>
      <c r="H734" s="10">
        <v>45477</v>
      </c>
      <c r="I734" s="21">
        <v>0.125</v>
      </c>
      <c r="J734" s="5" t="s">
        <v>14</v>
      </c>
      <c r="K734" s="22"/>
    </row>
    <row r="735" spans="2:11" ht="30">
      <c r="B735" s="4" t="s">
        <v>150</v>
      </c>
      <c r="C735" s="5">
        <f>IF(B735&lt;&gt;"",VLOOKUP(B735,Projetos!E:F,2,0),"")</f>
        <v>22</v>
      </c>
      <c r="D735" s="5"/>
      <c r="E735" s="4" t="s">
        <v>40</v>
      </c>
      <c r="F735" s="69" t="s">
        <v>306</v>
      </c>
      <c r="G735" s="5" t="s">
        <v>42</v>
      </c>
      <c r="H735" s="10">
        <v>45477</v>
      </c>
      <c r="I735" s="30">
        <v>0.25</v>
      </c>
      <c r="J735" s="5" t="s">
        <v>14</v>
      </c>
      <c r="K735" s="22"/>
    </row>
    <row r="736" spans="2:11">
      <c r="B736" s="4" t="s">
        <v>122</v>
      </c>
      <c r="C736" s="5">
        <f>IF(B736&lt;&gt;"",VLOOKUP(B736,Projetos!E:F,2,0),"")</f>
        <v>24</v>
      </c>
      <c r="D736" s="5"/>
      <c r="E736" s="4" t="s">
        <v>26</v>
      </c>
      <c r="F736" s="75" t="s">
        <v>307</v>
      </c>
      <c r="G736" s="5" t="s">
        <v>28</v>
      </c>
      <c r="H736" s="10">
        <v>45478</v>
      </c>
      <c r="I736" s="30">
        <v>0.25</v>
      </c>
      <c r="J736" s="5" t="s">
        <v>14</v>
      </c>
      <c r="K736" s="22"/>
    </row>
    <row r="737" spans="2:11">
      <c r="B737" s="4" t="s">
        <v>128</v>
      </c>
      <c r="C737" s="5">
        <f>IF(B737&lt;&gt;"",VLOOKUP(B737,Projetos!E:F,2,0),"")</f>
        <v>23</v>
      </c>
      <c r="D737" s="5"/>
      <c r="E737" s="4" t="s">
        <v>40</v>
      </c>
      <c r="F737" s="69" t="s">
        <v>303</v>
      </c>
      <c r="G737" s="5" t="s">
        <v>20</v>
      </c>
      <c r="H737" s="10">
        <v>45478</v>
      </c>
      <c r="I737" s="30">
        <v>0.20833333333333334</v>
      </c>
      <c r="J737" s="5" t="s">
        <v>14</v>
      </c>
      <c r="K737" s="22"/>
    </row>
    <row r="738" spans="2:11">
      <c r="B738" s="4" t="s">
        <v>140</v>
      </c>
      <c r="C738" s="5">
        <f>IF(B738&lt;&gt;"",VLOOKUP(B738,Projetos!E:F,2,0),"")</f>
        <v>39</v>
      </c>
      <c r="D738" s="5"/>
      <c r="E738" s="4" t="s">
        <v>153</v>
      </c>
      <c r="F738" s="69" t="s">
        <v>308</v>
      </c>
      <c r="G738" s="5" t="s">
        <v>64</v>
      </c>
      <c r="H738" s="10">
        <v>45477</v>
      </c>
      <c r="I738" s="30">
        <v>0.10416666666666667</v>
      </c>
      <c r="J738" s="5" t="s">
        <v>14</v>
      </c>
      <c r="K738" s="22"/>
    </row>
    <row r="739" spans="2:11">
      <c r="B739" s="4" t="s">
        <v>140</v>
      </c>
      <c r="C739" s="5">
        <f>IF(B739&lt;&gt;"",VLOOKUP(B739,Projetos!E:F,2,0),"")</f>
        <v>39</v>
      </c>
      <c r="D739" s="5"/>
      <c r="E739" s="4" t="s">
        <v>11</v>
      </c>
      <c r="F739" s="69" t="s">
        <v>309</v>
      </c>
      <c r="G739" s="5" t="s">
        <v>64</v>
      </c>
      <c r="H739" s="10">
        <v>45477</v>
      </c>
      <c r="I739" s="30">
        <v>0.125</v>
      </c>
      <c r="J739" s="5" t="s">
        <v>14</v>
      </c>
      <c r="K739" s="22"/>
    </row>
    <row r="740" spans="2:11">
      <c r="B740" s="4" t="s">
        <v>205</v>
      </c>
      <c r="C740" s="5">
        <f>IF(B740&lt;&gt;"",VLOOKUP(B740,Projetos!E:F,2,0),"")</f>
        <v>34</v>
      </c>
      <c r="D740" s="5"/>
      <c r="E740" s="4" t="s">
        <v>49</v>
      </c>
      <c r="F740" s="69" t="s">
        <v>310</v>
      </c>
      <c r="G740" s="5" t="s">
        <v>64</v>
      </c>
      <c r="H740" s="10">
        <v>45477</v>
      </c>
      <c r="I740" s="30">
        <v>8.3333333333333329E-2</v>
      </c>
      <c r="J740" s="5" t="s">
        <v>14</v>
      </c>
      <c r="K740" s="22"/>
    </row>
    <row r="741" spans="2:11" ht="30">
      <c r="B741" s="4" t="s">
        <v>231</v>
      </c>
      <c r="C741" s="5">
        <f>IF(B741&lt;&gt;"",VLOOKUP(B741,Projetos!E:F,2,0),"")</f>
        <v>35</v>
      </c>
      <c r="D741" s="5"/>
      <c r="E741" s="4" t="s">
        <v>49</v>
      </c>
      <c r="F741" s="69" t="s">
        <v>311</v>
      </c>
      <c r="G741" s="5" t="s">
        <v>64</v>
      </c>
      <c r="H741" s="10">
        <v>45478</v>
      </c>
      <c r="I741" s="30">
        <v>1.0416666666666666E-2</v>
      </c>
      <c r="J741" s="5" t="s">
        <v>14</v>
      </c>
      <c r="K741" s="22"/>
    </row>
    <row r="742" spans="2:11" ht="30">
      <c r="B742" s="4" t="s">
        <v>312</v>
      </c>
      <c r="C742" s="5">
        <f>IF(B742&lt;&gt;"",VLOOKUP(B742,Projetos!E:F,2,0),"")</f>
        <v>40</v>
      </c>
      <c r="D742" s="5"/>
      <c r="E742" s="4" t="s">
        <v>49</v>
      </c>
      <c r="F742" s="69" t="s">
        <v>313</v>
      </c>
      <c r="G742" s="5" t="s">
        <v>64</v>
      </c>
      <c r="H742" s="10">
        <v>45478</v>
      </c>
      <c r="I742" s="30">
        <v>6.25E-2</v>
      </c>
      <c r="J742" s="5" t="s">
        <v>14</v>
      </c>
      <c r="K742" s="22"/>
    </row>
    <row r="743" spans="2:11">
      <c r="B743" s="4" t="s">
        <v>140</v>
      </c>
      <c r="C743" s="5">
        <f>IF(B743&lt;&gt;"",VLOOKUP(B743,Projetos!E:F,2,0),"")</f>
        <v>39</v>
      </c>
      <c r="D743" s="5"/>
      <c r="E743" s="4" t="s">
        <v>153</v>
      </c>
      <c r="F743" s="69" t="s">
        <v>314</v>
      </c>
      <c r="G743" s="5" t="s">
        <v>64</v>
      </c>
      <c r="H743" s="10">
        <v>45478</v>
      </c>
      <c r="I743" s="30">
        <v>4.1666666666666664E-2</v>
      </c>
      <c r="J743" s="5" t="s">
        <v>14</v>
      </c>
      <c r="K743" s="22"/>
    </row>
    <row r="744" spans="2:11">
      <c r="B744" s="4" t="s">
        <v>140</v>
      </c>
      <c r="C744" s="5">
        <f>IF(B744&lt;&gt;"",VLOOKUP(B744,Projetos!E:F,2,0),"")</f>
        <v>39</v>
      </c>
      <c r="D744" s="5"/>
      <c r="E744" s="4" t="s">
        <v>153</v>
      </c>
      <c r="F744" s="69" t="s">
        <v>315</v>
      </c>
      <c r="G744" s="5" t="s">
        <v>64</v>
      </c>
      <c r="H744" s="10">
        <v>45478</v>
      </c>
      <c r="I744" s="30">
        <v>3.125E-2</v>
      </c>
      <c r="J744" s="5" t="s">
        <v>14</v>
      </c>
      <c r="K744" s="22"/>
    </row>
    <row r="745" spans="2:11" ht="30">
      <c r="B745" s="4" t="s">
        <v>136</v>
      </c>
      <c r="C745" s="5">
        <f>IF(B745&lt;&gt;"",VLOOKUP(B745,Projetos!E:F,2,0),"")</f>
        <v>25</v>
      </c>
      <c r="D745" s="5"/>
      <c r="E745" s="4" t="s">
        <v>316</v>
      </c>
      <c r="F745" s="69" t="s">
        <v>317</v>
      </c>
      <c r="G745" s="5" t="s">
        <v>66</v>
      </c>
      <c r="H745" s="10">
        <v>45478</v>
      </c>
      <c r="I745" s="21">
        <v>0.16666666666666666</v>
      </c>
      <c r="J745" s="5" t="s">
        <v>14</v>
      </c>
      <c r="K745" s="22"/>
    </row>
    <row r="746" spans="2:11">
      <c r="B746" s="4" t="s">
        <v>136</v>
      </c>
      <c r="C746" s="5">
        <f>IF(B746&lt;&gt;"",VLOOKUP(B746,Projetos!E:F,2,0),"")</f>
        <v>25</v>
      </c>
      <c r="D746" s="5"/>
      <c r="E746" s="4" t="s">
        <v>65</v>
      </c>
      <c r="F746" s="69" t="s">
        <v>318</v>
      </c>
      <c r="G746" s="5" t="s">
        <v>64</v>
      </c>
      <c r="H746" s="10">
        <v>45478</v>
      </c>
      <c r="I746" s="30">
        <v>0.125</v>
      </c>
      <c r="J746" s="5" t="s">
        <v>14</v>
      </c>
      <c r="K746" s="22"/>
    </row>
    <row r="747" spans="2:11">
      <c r="B747" s="4" t="s">
        <v>138</v>
      </c>
      <c r="C747" s="5">
        <f>IF(B747&lt;&gt;"",VLOOKUP(B747,Projetos!E:F,2,0),"")</f>
        <v>30</v>
      </c>
      <c r="D747" s="5"/>
      <c r="E747" s="4" t="s">
        <v>153</v>
      </c>
      <c r="F747" s="69" t="s">
        <v>319</v>
      </c>
      <c r="G747" s="5" t="s">
        <v>20</v>
      </c>
      <c r="H747" s="10">
        <v>45481</v>
      </c>
      <c r="I747" s="30">
        <v>0.16666666666666666</v>
      </c>
      <c r="J747" s="5" t="s">
        <v>14</v>
      </c>
      <c r="K747" s="22"/>
    </row>
    <row r="748" spans="2:11" ht="30">
      <c r="B748" s="4" t="s">
        <v>33</v>
      </c>
      <c r="C748" s="5">
        <f>IF(B748&lt;&gt;"",VLOOKUP(B748,Projetos!E:F,2,0),"")</f>
        <v>18</v>
      </c>
      <c r="D748" s="5"/>
      <c r="E748" s="4" t="s">
        <v>16</v>
      </c>
      <c r="F748" s="69" t="s">
        <v>320</v>
      </c>
      <c r="G748" s="5" t="s">
        <v>34</v>
      </c>
      <c r="H748" s="10">
        <v>45481</v>
      </c>
      <c r="I748" s="30">
        <v>4.1666666666666664E-2</v>
      </c>
      <c r="J748" s="5" t="s">
        <v>14</v>
      </c>
      <c r="K748" s="22"/>
    </row>
    <row r="749" spans="2:11" ht="30">
      <c r="B749" s="4" t="s">
        <v>128</v>
      </c>
      <c r="C749" s="5">
        <f>IF(B749&lt;&gt;"",VLOOKUP(B749,Projetos!E:F,2,0),"")</f>
        <v>23</v>
      </c>
      <c r="D749" s="5"/>
      <c r="E749" s="4" t="s">
        <v>40</v>
      </c>
      <c r="F749" s="69" t="s">
        <v>321</v>
      </c>
      <c r="G749" s="5" t="s">
        <v>42</v>
      </c>
      <c r="H749" s="10">
        <v>45478</v>
      </c>
      <c r="I749" s="30">
        <v>0.25</v>
      </c>
      <c r="J749" s="5" t="s">
        <v>14</v>
      </c>
      <c r="K749" s="22"/>
    </row>
    <row r="750" spans="2:11" ht="30">
      <c r="B750" s="4" t="s">
        <v>33</v>
      </c>
      <c r="C750" s="5">
        <f>IF(B750&lt;&gt;"",VLOOKUP(B750,Projetos!E:F,2,0),"")</f>
        <v>18</v>
      </c>
      <c r="D750" s="5"/>
      <c r="E750" s="4" t="s">
        <v>16</v>
      </c>
      <c r="F750" s="69" t="s">
        <v>320</v>
      </c>
      <c r="G750" s="5" t="s">
        <v>28</v>
      </c>
      <c r="H750" s="10">
        <v>45481</v>
      </c>
      <c r="I750" s="30">
        <v>4.1666666666666664E-2</v>
      </c>
      <c r="J750" s="5" t="s">
        <v>14</v>
      </c>
      <c r="K750" s="22"/>
    </row>
    <row r="751" spans="2:11" ht="30">
      <c r="B751" s="4" t="s">
        <v>128</v>
      </c>
      <c r="C751" s="5">
        <f>IF(B751&lt;&gt;"",VLOOKUP(B751,Projetos!E:F,2,0),"")</f>
        <v>23</v>
      </c>
      <c r="D751" s="5"/>
      <c r="E751" s="4" t="s">
        <v>16</v>
      </c>
      <c r="F751" s="69" t="s">
        <v>322</v>
      </c>
      <c r="G751" s="5" t="s">
        <v>28</v>
      </c>
      <c r="H751" s="10">
        <v>45481</v>
      </c>
      <c r="I751" s="30">
        <v>8.3333333333333329E-2</v>
      </c>
      <c r="J751" s="5" t="s">
        <v>14</v>
      </c>
      <c r="K751" s="22"/>
    </row>
    <row r="752" spans="2:11" ht="30">
      <c r="B752" s="4" t="s">
        <v>33</v>
      </c>
      <c r="C752" s="5">
        <f>IF(B752&lt;&gt;"",VLOOKUP(B752,Projetos!E:F,2,0),"")</f>
        <v>18</v>
      </c>
      <c r="D752" s="5"/>
      <c r="E752" s="4" t="s">
        <v>16</v>
      </c>
      <c r="F752" s="69" t="s">
        <v>320</v>
      </c>
      <c r="G752" s="5" t="s">
        <v>42</v>
      </c>
      <c r="H752" s="10">
        <v>45481</v>
      </c>
      <c r="I752" s="30">
        <v>4.1666666666666664E-2</v>
      </c>
      <c r="J752" s="5" t="s">
        <v>14</v>
      </c>
      <c r="K752" s="22"/>
    </row>
    <row r="753" spans="2:11">
      <c r="B753" s="4" t="s">
        <v>118</v>
      </c>
      <c r="C753" s="5">
        <f>IF(B753&lt;&gt;"",VLOOKUP(B753,Projetos!E:F,2,0),"")</f>
        <v>21</v>
      </c>
      <c r="D753" s="5"/>
      <c r="E753" s="4" t="s">
        <v>119</v>
      </c>
      <c r="F753" s="69" t="s">
        <v>323</v>
      </c>
      <c r="G753" s="5" t="s">
        <v>28</v>
      </c>
      <c r="H753" s="10">
        <v>45481</v>
      </c>
      <c r="I753" s="30">
        <v>8.3333333333333329E-2</v>
      </c>
      <c r="J753" s="5" t="s">
        <v>14</v>
      </c>
      <c r="K753" s="22"/>
    </row>
    <row r="754" spans="2:11" ht="30">
      <c r="B754" s="4" t="s">
        <v>33</v>
      </c>
      <c r="C754" s="5">
        <f>IF(B754&lt;&gt;"",VLOOKUP(B754,Projetos!E:F,2,0),"")</f>
        <v>18</v>
      </c>
      <c r="D754" s="5"/>
      <c r="E754" s="4" t="s">
        <v>21</v>
      </c>
      <c r="F754" s="69" t="s">
        <v>324</v>
      </c>
      <c r="G754" s="5" t="s">
        <v>28</v>
      </c>
      <c r="H754" s="10">
        <v>45481</v>
      </c>
      <c r="I754" s="30">
        <v>6.25E-2</v>
      </c>
      <c r="J754" s="5" t="s">
        <v>14</v>
      </c>
      <c r="K754" s="22"/>
    </row>
    <row r="755" spans="2:11" ht="30">
      <c r="B755" s="4" t="s">
        <v>128</v>
      </c>
      <c r="C755" s="5">
        <f>IF(B755&lt;&gt;"",VLOOKUP(B755,Projetos!E:F,2,0),"")</f>
        <v>23</v>
      </c>
      <c r="D755" s="5"/>
      <c r="E755" s="4" t="s">
        <v>16</v>
      </c>
      <c r="F755" s="69" t="s">
        <v>322</v>
      </c>
      <c r="G755" s="5" t="s">
        <v>42</v>
      </c>
      <c r="H755" s="10">
        <v>45481</v>
      </c>
      <c r="I755" s="30">
        <v>8.3333333333333329E-2</v>
      </c>
      <c r="J755" s="5" t="s">
        <v>14</v>
      </c>
      <c r="K755" s="22"/>
    </row>
    <row r="756" spans="2:11" ht="45">
      <c r="B756" s="4" t="s">
        <v>138</v>
      </c>
      <c r="C756" s="5">
        <f>IF(B756&lt;&gt;"",VLOOKUP(B756,Projetos!E:F,2,0),"")</f>
        <v>30</v>
      </c>
      <c r="D756" s="5"/>
      <c r="E756" s="4" t="s">
        <v>26</v>
      </c>
      <c r="F756" s="69" t="s">
        <v>325</v>
      </c>
      <c r="G756" s="5" t="s">
        <v>34</v>
      </c>
      <c r="H756" s="10">
        <v>45482</v>
      </c>
      <c r="I756" s="30">
        <v>4.1666666666666664E-2</v>
      </c>
      <c r="J756" s="5" t="s">
        <v>14</v>
      </c>
      <c r="K756" s="22"/>
    </row>
    <row r="757" spans="2:11">
      <c r="B757" s="4" t="s">
        <v>118</v>
      </c>
      <c r="C757" s="5">
        <f>IF(B757&lt;&gt;"",VLOOKUP(B757,Projetos!E:F,2,0),"")</f>
        <v>21</v>
      </c>
      <c r="D757" s="5"/>
      <c r="E757" s="4" t="s">
        <v>119</v>
      </c>
      <c r="F757" s="69" t="s">
        <v>326</v>
      </c>
      <c r="G757" s="5" t="s">
        <v>28</v>
      </c>
      <c r="H757" s="10">
        <v>45482</v>
      </c>
      <c r="I757" s="30">
        <v>0.125</v>
      </c>
      <c r="J757" s="5" t="s">
        <v>14</v>
      </c>
      <c r="K757" s="22"/>
    </row>
    <row r="758" spans="2:11" ht="30">
      <c r="B758" s="4" t="s">
        <v>128</v>
      </c>
      <c r="C758" s="5">
        <f>IF(B758&lt;&gt;"",VLOOKUP(B758,Projetos!E:F,2,0),"")</f>
        <v>23</v>
      </c>
      <c r="D758" s="5"/>
      <c r="E758" s="4" t="s">
        <v>26</v>
      </c>
      <c r="F758" s="69" t="s">
        <v>327</v>
      </c>
      <c r="G758" s="5" t="s">
        <v>28</v>
      </c>
      <c r="H758" s="10">
        <v>45482</v>
      </c>
      <c r="I758" s="30">
        <v>0.20833333333333334</v>
      </c>
      <c r="J758" s="5" t="s">
        <v>14</v>
      </c>
      <c r="K758" s="22"/>
    </row>
    <row r="759" spans="2:11">
      <c r="B759" s="4" t="s">
        <v>128</v>
      </c>
      <c r="C759" s="5">
        <f>IF(B759&lt;&gt;"",VLOOKUP(B759,Projetos!E:F,2,0),"")</f>
        <v>23</v>
      </c>
      <c r="D759" s="5"/>
      <c r="E759" s="4" t="s">
        <v>40</v>
      </c>
      <c r="F759" s="69" t="s">
        <v>303</v>
      </c>
      <c r="G759" s="5" t="s">
        <v>20</v>
      </c>
      <c r="H759" s="10">
        <v>45482</v>
      </c>
      <c r="I759" s="30">
        <v>0.20833333333333334</v>
      </c>
      <c r="J759" s="5" t="s">
        <v>14</v>
      </c>
      <c r="K759" s="22"/>
    </row>
    <row r="760" spans="2:11" ht="30">
      <c r="B760" s="4" t="s">
        <v>33</v>
      </c>
      <c r="C760" s="5">
        <f>IF(B760&lt;&gt;"",VLOOKUP(B760,Projetos!E:F,2,0),"")</f>
        <v>18</v>
      </c>
      <c r="D760" s="5"/>
      <c r="E760" s="4" t="s">
        <v>31</v>
      </c>
      <c r="F760" s="69" t="s">
        <v>328</v>
      </c>
      <c r="G760" s="5" t="s">
        <v>34</v>
      </c>
      <c r="H760" s="10">
        <v>45482</v>
      </c>
      <c r="I760" s="30">
        <v>0.29166666666666669</v>
      </c>
      <c r="J760" s="5" t="s">
        <v>14</v>
      </c>
      <c r="K760" s="22"/>
    </row>
    <row r="761" spans="2:11" ht="30">
      <c r="B761" s="4" t="s">
        <v>33</v>
      </c>
      <c r="C761" s="5">
        <f>IF(B761&lt;&gt;"",VLOOKUP(B761,Projetos!E:F,2,0),"")</f>
        <v>18</v>
      </c>
      <c r="D761" s="5"/>
      <c r="E761" s="4" t="s">
        <v>31</v>
      </c>
      <c r="F761" s="69" t="s">
        <v>329</v>
      </c>
      <c r="G761" s="5" t="s">
        <v>34</v>
      </c>
      <c r="H761" s="10">
        <v>45483</v>
      </c>
      <c r="I761" s="30">
        <v>0.29166666666666669</v>
      </c>
      <c r="J761" s="5" t="s">
        <v>14</v>
      </c>
      <c r="K761" s="22"/>
    </row>
    <row r="762" spans="2:11">
      <c r="B762" s="4" t="s">
        <v>150</v>
      </c>
      <c r="C762" s="5">
        <f>IF(B762&lt;&gt;"",VLOOKUP(B762,Projetos!E:F,2,0),"")</f>
        <v>22</v>
      </c>
      <c r="D762" s="5"/>
      <c r="E762" s="4" t="s">
        <v>25</v>
      </c>
      <c r="F762" s="69" t="s">
        <v>330</v>
      </c>
      <c r="G762" s="5" t="s">
        <v>20</v>
      </c>
      <c r="H762" s="10">
        <v>45483</v>
      </c>
      <c r="I762" s="30">
        <v>0.125</v>
      </c>
      <c r="J762" s="5" t="s">
        <v>14</v>
      </c>
      <c r="K762" s="22"/>
    </row>
    <row r="763" spans="2:11" ht="30">
      <c r="B763" s="4" t="s">
        <v>128</v>
      </c>
      <c r="C763" s="5">
        <f>IF(B763&lt;&gt;"",VLOOKUP(B763,Projetos!E:F,2,0),"")</f>
        <v>23</v>
      </c>
      <c r="D763" s="5"/>
      <c r="E763" s="4" t="s">
        <v>40</v>
      </c>
      <c r="F763" s="69" t="s">
        <v>331</v>
      </c>
      <c r="G763" s="5" t="s">
        <v>42</v>
      </c>
      <c r="H763" s="10">
        <v>45481</v>
      </c>
      <c r="I763" s="30">
        <v>0.20833333333333334</v>
      </c>
      <c r="J763" s="5" t="s">
        <v>14</v>
      </c>
      <c r="K763" s="22"/>
    </row>
    <row r="764" spans="2:11">
      <c r="B764" s="4" t="s">
        <v>332</v>
      </c>
      <c r="C764" s="5">
        <f>IF(B764&lt;&gt;"",VLOOKUP(B764,Projetos!E:F,2,0),"")</f>
        <v>44</v>
      </c>
      <c r="D764" s="5"/>
      <c r="E764" s="4" t="s">
        <v>21</v>
      </c>
      <c r="F764" s="69" t="s">
        <v>333</v>
      </c>
      <c r="G764" s="5" t="s">
        <v>20</v>
      </c>
      <c r="H764" s="10">
        <v>45483</v>
      </c>
      <c r="I764" s="30">
        <v>8.3333333333333329E-2</v>
      </c>
      <c r="J764" s="5" t="s">
        <v>14</v>
      </c>
      <c r="K764" s="22"/>
    </row>
    <row r="765" spans="2:11">
      <c r="B765" s="4" t="s">
        <v>332</v>
      </c>
      <c r="C765" s="5">
        <f>IF(B765&lt;&gt;"",VLOOKUP(B765,Projetos!E:F,2,0),"")</f>
        <v>44</v>
      </c>
      <c r="D765" s="5"/>
      <c r="E765" s="4" t="s">
        <v>21</v>
      </c>
      <c r="F765" s="69" t="s">
        <v>333</v>
      </c>
      <c r="G765" s="5" t="s">
        <v>28</v>
      </c>
      <c r="H765" s="10">
        <v>45483</v>
      </c>
      <c r="I765" s="30">
        <v>8.3333333333333329E-2</v>
      </c>
      <c r="J765" s="5" t="s">
        <v>14</v>
      </c>
      <c r="K765" s="22"/>
    </row>
    <row r="766" spans="2:11" ht="30">
      <c r="B766" s="4" t="s">
        <v>128</v>
      </c>
      <c r="C766" s="5">
        <f>IF(B766&lt;&gt;"",VLOOKUP(B766,Projetos!E:F,2,0),"")</f>
        <v>23</v>
      </c>
      <c r="D766" s="5"/>
      <c r="E766" s="4" t="s">
        <v>26</v>
      </c>
      <c r="F766" s="75" t="s">
        <v>334</v>
      </c>
      <c r="G766" s="5" t="s">
        <v>28</v>
      </c>
      <c r="H766" s="10">
        <v>45483</v>
      </c>
      <c r="I766" s="30">
        <v>0.25</v>
      </c>
      <c r="J766" s="5" t="s">
        <v>14</v>
      </c>
      <c r="K766" s="22"/>
    </row>
    <row r="767" spans="2:11">
      <c r="B767" s="4" t="s">
        <v>128</v>
      </c>
      <c r="C767" s="5">
        <f>IF(B767&lt;&gt;"",VLOOKUP(B767,Projetos!E:F,2,0),"")</f>
        <v>23</v>
      </c>
      <c r="D767" s="5"/>
      <c r="E767" s="4" t="s">
        <v>40</v>
      </c>
      <c r="F767" s="69" t="s">
        <v>303</v>
      </c>
      <c r="G767" s="5" t="s">
        <v>20</v>
      </c>
      <c r="H767" s="10">
        <v>45483</v>
      </c>
      <c r="I767" s="30">
        <v>8.3333333333333329E-2</v>
      </c>
      <c r="J767" s="5" t="s">
        <v>14</v>
      </c>
      <c r="K767" s="22"/>
    </row>
    <row r="768" spans="2:11">
      <c r="B768" s="4" t="s">
        <v>140</v>
      </c>
      <c r="C768" s="5">
        <f>IF(B768&lt;&gt;"",VLOOKUP(B768,Projetos!E:F,2,0),"")</f>
        <v>39</v>
      </c>
      <c r="D768" s="5"/>
      <c r="E768" s="4" t="s">
        <v>153</v>
      </c>
      <c r="F768" s="69" t="s">
        <v>335</v>
      </c>
      <c r="G768" s="5" t="s">
        <v>64</v>
      </c>
      <c r="H768" s="10">
        <v>45481</v>
      </c>
      <c r="I768" s="30">
        <v>8.3333333333333329E-2</v>
      </c>
      <c r="J768" s="5" t="s">
        <v>14</v>
      </c>
      <c r="K768" s="22"/>
    </row>
    <row r="769" spans="2:11">
      <c r="B769" s="4" t="s">
        <v>231</v>
      </c>
      <c r="C769" s="5">
        <f>IF(B769&lt;&gt;"",VLOOKUP(B769,Projetos!E:F,2,0),"")</f>
        <v>35</v>
      </c>
      <c r="D769" s="5"/>
      <c r="E769" s="4" t="s">
        <v>49</v>
      </c>
      <c r="F769" s="69" t="s">
        <v>336</v>
      </c>
      <c r="G769" s="5" t="s">
        <v>64</v>
      </c>
      <c r="H769" s="10">
        <v>45481</v>
      </c>
      <c r="I769" s="30">
        <v>1.3888888888888888E-2</v>
      </c>
      <c r="J769" s="5" t="s">
        <v>14</v>
      </c>
      <c r="K769" s="22"/>
    </row>
    <row r="770" spans="2:11" ht="30">
      <c r="B770" s="4" t="s">
        <v>231</v>
      </c>
      <c r="C770" s="5">
        <f>IF(B770&lt;&gt;"",VLOOKUP(B770,Projetos!E:F,2,0),"")</f>
        <v>35</v>
      </c>
      <c r="D770" s="5"/>
      <c r="E770" s="4" t="s">
        <v>49</v>
      </c>
      <c r="F770" s="69" t="s">
        <v>337</v>
      </c>
      <c r="G770" s="5" t="s">
        <v>64</v>
      </c>
      <c r="H770" s="10">
        <v>45481</v>
      </c>
      <c r="I770" s="30">
        <v>6.25E-2</v>
      </c>
      <c r="J770" s="5" t="s">
        <v>14</v>
      </c>
      <c r="K770" s="22"/>
    </row>
    <row r="771" spans="2:11" ht="30">
      <c r="B771" s="4" t="s">
        <v>231</v>
      </c>
      <c r="C771" s="5">
        <f>IF(B771&lt;&gt;"",VLOOKUP(B771,Projetos!E:F,2,0),"")</f>
        <v>35</v>
      </c>
      <c r="D771" s="5"/>
      <c r="E771" s="4" t="s">
        <v>49</v>
      </c>
      <c r="F771" s="69" t="s">
        <v>338</v>
      </c>
      <c r="G771" s="5" t="s">
        <v>64</v>
      </c>
      <c r="H771" s="10">
        <v>45481</v>
      </c>
      <c r="I771" s="30">
        <v>2.7777777777777776E-2</v>
      </c>
      <c r="J771" s="5" t="s">
        <v>14</v>
      </c>
      <c r="K771" s="22"/>
    </row>
    <row r="772" spans="2:11">
      <c r="B772" s="4" t="s">
        <v>33</v>
      </c>
      <c r="C772" s="5">
        <f>IF(B772&lt;&gt;"",VLOOKUP(B772,Projetos!E:F,2,0),"")</f>
        <v>18</v>
      </c>
      <c r="D772" s="5"/>
      <c r="E772" s="4" t="s">
        <v>16</v>
      </c>
      <c r="F772" s="69" t="s">
        <v>339</v>
      </c>
      <c r="G772" s="5" t="s">
        <v>64</v>
      </c>
      <c r="H772" s="10">
        <v>45481</v>
      </c>
      <c r="I772" s="30">
        <v>8.3333333333333329E-2</v>
      </c>
      <c r="J772" s="5" t="s">
        <v>14</v>
      </c>
      <c r="K772" s="22"/>
    </row>
    <row r="773" spans="2:11">
      <c r="B773" s="4" t="s">
        <v>140</v>
      </c>
      <c r="C773" s="5">
        <f>IF(B773&lt;&gt;"",VLOOKUP(B773,Projetos!E:F,2,0),"")</f>
        <v>39</v>
      </c>
      <c r="D773" s="5"/>
      <c r="E773" s="4" t="s">
        <v>153</v>
      </c>
      <c r="F773" s="69" t="s">
        <v>340</v>
      </c>
      <c r="G773" s="5" t="s">
        <v>64</v>
      </c>
      <c r="H773" s="10">
        <v>45481</v>
      </c>
      <c r="I773" s="30">
        <v>2.0833333333333332E-2</v>
      </c>
      <c r="J773" s="5" t="s">
        <v>14</v>
      </c>
      <c r="K773" s="22"/>
    </row>
    <row r="774" spans="2:11">
      <c r="B774" s="4" t="s">
        <v>140</v>
      </c>
      <c r="C774" s="5">
        <f>IF(B774&lt;&gt;"",VLOOKUP(B774,Projetos!E:F,2,0),"")</f>
        <v>39</v>
      </c>
      <c r="D774" s="5"/>
      <c r="E774" s="4" t="s">
        <v>144</v>
      </c>
      <c r="F774" s="69" t="s">
        <v>341</v>
      </c>
      <c r="G774" s="5" t="s">
        <v>64</v>
      </c>
      <c r="H774" s="10">
        <v>45482</v>
      </c>
      <c r="I774" s="30">
        <v>4.1666666666666664E-2</v>
      </c>
      <c r="J774" s="5" t="s">
        <v>14</v>
      </c>
      <c r="K774" s="22"/>
    </row>
    <row r="775" spans="2:11">
      <c r="B775" s="4" t="s">
        <v>136</v>
      </c>
      <c r="C775" s="5">
        <f>IF(B775&lt;&gt;"",VLOOKUP(B775,Projetos!E:F,2,0),"")</f>
        <v>25</v>
      </c>
      <c r="D775" s="5"/>
      <c r="E775" s="4" t="s">
        <v>65</v>
      </c>
      <c r="F775" s="69" t="s">
        <v>342</v>
      </c>
      <c r="G775" s="5" t="s">
        <v>64</v>
      </c>
      <c r="H775" s="10">
        <v>45482</v>
      </c>
      <c r="I775" s="30">
        <v>0.10416666666666667</v>
      </c>
      <c r="J775" s="5" t="s">
        <v>14</v>
      </c>
      <c r="K775" s="22"/>
    </row>
    <row r="776" spans="2:11">
      <c r="B776" s="4" t="s">
        <v>140</v>
      </c>
      <c r="C776" s="5">
        <f>IF(B776&lt;&gt;"",VLOOKUP(B776,Projetos!E:F,2,0),"")</f>
        <v>39</v>
      </c>
      <c r="D776" s="5"/>
      <c r="E776" s="4" t="s">
        <v>158</v>
      </c>
      <c r="F776" s="69" t="s">
        <v>343</v>
      </c>
      <c r="G776" s="5" t="s">
        <v>64</v>
      </c>
      <c r="H776" s="10">
        <v>45483</v>
      </c>
      <c r="I776" s="30">
        <v>0.22916666666666666</v>
      </c>
      <c r="J776" s="5" t="s">
        <v>14</v>
      </c>
      <c r="K776" s="22"/>
    </row>
    <row r="777" spans="2:11">
      <c r="B777" s="4" t="s">
        <v>140</v>
      </c>
      <c r="C777" s="5">
        <f>IF(B777&lt;&gt;"",VLOOKUP(B777,Projetos!E:F,2,0),"")</f>
        <v>39</v>
      </c>
      <c r="D777" s="5"/>
      <c r="E777" s="4" t="s">
        <v>144</v>
      </c>
      <c r="F777" s="69" t="s">
        <v>344</v>
      </c>
      <c r="G777" s="5" t="s">
        <v>64</v>
      </c>
      <c r="H777" s="10">
        <v>45483</v>
      </c>
      <c r="I777" s="30">
        <v>2.0833333333333332E-2</v>
      </c>
      <c r="J777" s="5" t="s">
        <v>14</v>
      </c>
      <c r="K777" s="22"/>
    </row>
    <row r="778" spans="2:11" ht="30">
      <c r="B778" s="4" t="s">
        <v>33</v>
      </c>
      <c r="C778" s="5">
        <f>IF(B778&lt;&gt;"",VLOOKUP(B778,Projetos!E:F,2,0),"")</f>
        <v>18</v>
      </c>
      <c r="D778" s="5"/>
      <c r="E778" s="4" t="s">
        <v>31</v>
      </c>
      <c r="F778" s="69" t="s">
        <v>329</v>
      </c>
      <c r="G778" s="5" t="s">
        <v>34</v>
      </c>
      <c r="H778" s="10">
        <v>45484</v>
      </c>
      <c r="I778" s="30">
        <v>0.20833333333333334</v>
      </c>
      <c r="J778" s="5" t="s">
        <v>14</v>
      </c>
      <c r="K778" s="22"/>
    </row>
    <row r="779" spans="2:11" ht="30">
      <c r="B779" s="4" t="s">
        <v>287</v>
      </c>
      <c r="C779" s="5">
        <f>IF(B779&lt;&gt;"",VLOOKUP(B779,Projetos!E:F,2,0),"")</f>
        <v>36</v>
      </c>
      <c r="D779" s="5"/>
      <c r="E779" s="4" t="s">
        <v>288</v>
      </c>
      <c r="F779" s="69" t="s">
        <v>345</v>
      </c>
      <c r="G779" s="5" t="s">
        <v>178</v>
      </c>
      <c r="H779" s="10">
        <v>45397</v>
      </c>
      <c r="I779" s="30">
        <v>8.3333333333333329E-2</v>
      </c>
      <c r="J779" s="5" t="s">
        <v>14</v>
      </c>
      <c r="K779" s="22"/>
    </row>
    <row r="780" spans="2:11" ht="30">
      <c r="B780" s="4" t="s">
        <v>287</v>
      </c>
      <c r="C780" s="5">
        <f>IF(B780&lt;&gt;"",VLOOKUP(B780,Projetos!E:F,2,0),"")</f>
        <v>36</v>
      </c>
      <c r="D780" s="5"/>
      <c r="E780" s="4" t="s">
        <v>288</v>
      </c>
      <c r="F780" s="69" t="s">
        <v>345</v>
      </c>
      <c r="G780" s="5" t="s">
        <v>178</v>
      </c>
      <c r="H780" s="10">
        <v>45398</v>
      </c>
      <c r="I780" s="30">
        <v>8.3333333333333329E-2</v>
      </c>
      <c r="J780" s="5" t="s">
        <v>14</v>
      </c>
      <c r="K780" s="22"/>
    </row>
    <row r="781" spans="2:11" ht="30">
      <c r="B781" s="4" t="s">
        <v>287</v>
      </c>
      <c r="C781" s="5">
        <f>IF(B781&lt;&gt;"",VLOOKUP(B781,Projetos!E:F,2,0),"")</f>
        <v>36</v>
      </c>
      <c r="D781" s="5"/>
      <c r="E781" s="4" t="s">
        <v>288</v>
      </c>
      <c r="F781" s="69" t="s">
        <v>345</v>
      </c>
      <c r="G781" s="5" t="s">
        <v>178</v>
      </c>
      <c r="H781" s="10">
        <v>45399</v>
      </c>
      <c r="I781" s="30">
        <v>8.3333333333333329E-2</v>
      </c>
      <c r="J781" s="5" t="s">
        <v>14</v>
      </c>
      <c r="K781" s="22"/>
    </row>
    <row r="782" spans="2:11">
      <c r="B782" s="4" t="s">
        <v>346</v>
      </c>
      <c r="C782" s="5">
        <f>IF(B782&lt;&gt;"",VLOOKUP(B782,Projetos!E:F,2,0),"")</f>
        <v>45</v>
      </c>
      <c r="D782" s="5"/>
      <c r="E782" s="4" t="s">
        <v>26</v>
      </c>
      <c r="F782" s="69" t="s">
        <v>347</v>
      </c>
      <c r="G782" s="5" t="s">
        <v>34</v>
      </c>
      <c r="H782" s="10">
        <v>45484</v>
      </c>
      <c r="I782" s="30">
        <v>2.0833333333333332E-2</v>
      </c>
      <c r="J782" s="5" t="s">
        <v>14</v>
      </c>
      <c r="K782" s="22"/>
    </row>
    <row r="783" spans="2:11">
      <c r="B783" s="4" t="s">
        <v>346</v>
      </c>
      <c r="C783" s="5">
        <f>IF(B783&lt;&gt;"",VLOOKUP(B783,Projetos!E:F,2,0),"")</f>
        <v>45</v>
      </c>
      <c r="D783" s="5"/>
      <c r="E783" s="4" t="s">
        <v>31</v>
      </c>
      <c r="F783" s="69" t="s">
        <v>32</v>
      </c>
      <c r="G783" s="5" t="s">
        <v>34</v>
      </c>
      <c r="H783" s="10">
        <v>45484</v>
      </c>
      <c r="I783" s="30">
        <v>4.1666666666666664E-2</v>
      </c>
      <c r="J783" s="5" t="s">
        <v>14</v>
      </c>
      <c r="K783" s="22"/>
    </row>
    <row r="784" spans="2:11">
      <c r="B784" s="4" t="s">
        <v>346</v>
      </c>
      <c r="C784" s="5">
        <f>IF(B784&lt;&gt;"",VLOOKUP(B784,Projetos!E:F,2,0),"")</f>
        <v>45</v>
      </c>
      <c r="D784" s="5"/>
      <c r="E784" s="4" t="s">
        <v>31</v>
      </c>
      <c r="F784" s="69" t="s">
        <v>348</v>
      </c>
      <c r="G784" s="5" t="s">
        <v>20</v>
      </c>
      <c r="H784" s="10">
        <v>45484</v>
      </c>
      <c r="I784" s="30">
        <v>2.0833333333333332E-2</v>
      </c>
      <c r="J784" s="5" t="s">
        <v>14</v>
      </c>
      <c r="K784" s="22"/>
    </row>
    <row r="785" spans="2:11">
      <c r="B785" s="4" t="s">
        <v>138</v>
      </c>
      <c r="C785" s="5">
        <f>IF(B785&lt;&gt;"",VLOOKUP(B785,Projetos!E:F,2,0),"")</f>
        <v>30</v>
      </c>
      <c r="D785" s="5"/>
      <c r="E785" s="4" t="s">
        <v>26</v>
      </c>
      <c r="F785" s="69" t="s">
        <v>349</v>
      </c>
      <c r="G785" s="5" t="s">
        <v>34</v>
      </c>
      <c r="H785" s="10">
        <v>45484</v>
      </c>
      <c r="I785" s="30">
        <v>4.1666666666666664E-2</v>
      </c>
      <c r="J785" s="5" t="s">
        <v>14</v>
      </c>
      <c r="K785" s="22"/>
    </row>
    <row r="786" spans="2:11">
      <c r="B786" s="4" t="s">
        <v>156</v>
      </c>
      <c r="C786" s="5">
        <f>IF(B786&lt;&gt;"",VLOOKUP(B786,Projetos!E:F,2,0),"")</f>
        <v>3</v>
      </c>
      <c r="D786" s="5"/>
      <c r="E786" s="4" t="s">
        <v>49</v>
      </c>
      <c r="F786" s="69" t="s">
        <v>350</v>
      </c>
      <c r="G786" s="5" t="s">
        <v>13</v>
      </c>
      <c r="H786" s="10">
        <v>45484</v>
      </c>
      <c r="I786" s="30">
        <v>0.22916666666666666</v>
      </c>
      <c r="J786" s="5" t="s">
        <v>14</v>
      </c>
      <c r="K786" s="22"/>
    </row>
    <row r="787" spans="2:11">
      <c r="B787" s="4" t="s">
        <v>192</v>
      </c>
      <c r="C787" s="5">
        <f>IF(B787&lt;&gt;"",VLOOKUP(B787,Projetos!E:F,2,0),"")</f>
        <v>32</v>
      </c>
      <c r="D787" s="5"/>
      <c r="E787" s="4" t="s">
        <v>16</v>
      </c>
      <c r="F787" s="69" t="s">
        <v>351</v>
      </c>
      <c r="G787" s="5" t="s">
        <v>64</v>
      </c>
      <c r="H787" s="10">
        <v>45484</v>
      </c>
      <c r="I787" s="30">
        <v>5.5555555555555552E-2</v>
      </c>
      <c r="J787" s="5" t="s">
        <v>14</v>
      </c>
      <c r="K787" s="22"/>
    </row>
    <row r="788" spans="2:11">
      <c r="B788" s="4" t="s">
        <v>140</v>
      </c>
      <c r="C788" s="5">
        <f>IF(B788&lt;&gt;"",VLOOKUP(B788,Projetos!E:F,2,0),"")</f>
        <v>39</v>
      </c>
      <c r="D788" s="5"/>
      <c r="E788" s="4" t="s">
        <v>144</v>
      </c>
      <c r="F788" s="69" t="s">
        <v>344</v>
      </c>
      <c r="G788" s="5" t="s">
        <v>64</v>
      </c>
      <c r="H788" s="10">
        <v>45484</v>
      </c>
      <c r="I788" s="30">
        <v>0.15972222222222221</v>
      </c>
      <c r="J788" s="5" t="s">
        <v>14</v>
      </c>
      <c r="K788" s="22"/>
    </row>
    <row r="789" spans="2:11" ht="30">
      <c r="B789" s="4" t="s">
        <v>33</v>
      </c>
      <c r="C789" s="5">
        <f>IF(B789&lt;&gt;"",VLOOKUP(B789,Projetos!E:F,2,0),"")</f>
        <v>18</v>
      </c>
      <c r="D789" s="5"/>
      <c r="E789" s="4" t="s">
        <v>31</v>
      </c>
      <c r="F789" s="69" t="s">
        <v>329</v>
      </c>
      <c r="G789" s="5" t="s">
        <v>34</v>
      </c>
      <c r="H789" s="10">
        <v>45485</v>
      </c>
      <c r="I789" s="30">
        <v>0.16666666666666666</v>
      </c>
      <c r="J789" s="5" t="s">
        <v>14</v>
      </c>
      <c r="K789" s="22"/>
    </row>
    <row r="790" spans="2:11" ht="30">
      <c r="B790" s="4" t="s">
        <v>138</v>
      </c>
      <c r="C790" s="5">
        <f>IF(B790&lt;&gt;"",VLOOKUP(B790,Projetos!E:F,2,0),"")</f>
        <v>30</v>
      </c>
      <c r="D790" s="5"/>
      <c r="E790" s="4" t="s">
        <v>26</v>
      </c>
      <c r="F790" s="69" t="s">
        <v>352</v>
      </c>
      <c r="G790" s="5" t="s">
        <v>34</v>
      </c>
      <c r="H790" s="10">
        <v>45485</v>
      </c>
      <c r="I790" s="30">
        <v>4.1666666666666664E-2</v>
      </c>
      <c r="J790" s="5" t="s">
        <v>14</v>
      </c>
      <c r="K790" s="22"/>
    </row>
    <row r="791" spans="2:11" ht="30">
      <c r="B791" s="4" t="s">
        <v>140</v>
      </c>
      <c r="C791" s="5">
        <f>IF(B791&lt;&gt;"",VLOOKUP(B791,Projetos!E:F,2,0),"")</f>
        <v>39</v>
      </c>
      <c r="D791" s="5"/>
      <c r="E791" s="4" t="s">
        <v>144</v>
      </c>
      <c r="F791" s="69" t="s">
        <v>353</v>
      </c>
      <c r="G791" s="5" t="s">
        <v>64</v>
      </c>
      <c r="H791" s="10">
        <v>45485</v>
      </c>
      <c r="I791" s="30">
        <v>0.10416666666666667</v>
      </c>
      <c r="J791" s="5" t="s">
        <v>14</v>
      </c>
      <c r="K791" s="22"/>
    </row>
    <row r="792" spans="2:11">
      <c r="B792" s="4" t="s">
        <v>332</v>
      </c>
      <c r="C792" s="5">
        <f>IF(B792&lt;&gt;"",VLOOKUP(B792,Projetos!E:F,2,0),"")</f>
        <v>44</v>
      </c>
      <c r="D792" s="5"/>
      <c r="E792" s="4" t="s">
        <v>21</v>
      </c>
      <c r="F792" s="69" t="s">
        <v>354</v>
      </c>
      <c r="G792" s="5" t="s">
        <v>20</v>
      </c>
      <c r="H792" s="10">
        <v>45483</v>
      </c>
      <c r="I792" s="30">
        <v>4.1666666666666664E-2</v>
      </c>
      <c r="J792" s="5" t="s">
        <v>14</v>
      </c>
      <c r="K792" s="22"/>
    </row>
    <row r="793" spans="2:11">
      <c r="B793" s="4" t="s">
        <v>332</v>
      </c>
      <c r="C793" s="5">
        <f>IF(B793&lt;&gt;"",VLOOKUP(B793,Projetos!E:F,2,0),"")</f>
        <v>44</v>
      </c>
      <c r="D793" s="5"/>
      <c r="E793" s="4" t="s">
        <v>21</v>
      </c>
      <c r="F793" s="69" t="s">
        <v>354</v>
      </c>
      <c r="G793" s="5" t="s">
        <v>28</v>
      </c>
      <c r="H793" s="10">
        <v>45483</v>
      </c>
      <c r="I793" s="30">
        <v>4.1666666666666664E-2</v>
      </c>
      <c r="J793" s="5" t="s">
        <v>14</v>
      </c>
      <c r="K793" s="22"/>
    </row>
    <row r="794" spans="2:11">
      <c r="B794" s="4" t="s">
        <v>332</v>
      </c>
      <c r="C794" s="5">
        <f>IF(B794&lt;&gt;"",VLOOKUP(B794,Projetos!E:F,2,0),"")</f>
        <v>44</v>
      </c>
      <c r="D794" s="5"/>
      <c r="E794" s="4" t="s">
        <v>119</v>
      </c>
      <c r="F794" s="69" t="s">
        <v>355</v>
      </c>
      <c r="G794" s="5" t="s">
        <v>28</v>
      </c>
      <c r="H794" s="10">
        <v>45484</v>
      </c>
      <c r="I794" s="30">
        <v>0.33333333333333331</v>
      </c>
      <c r="J794" s="5" t="s">
        <v>14</v>
      </c>
      <c r="K794" s="22"/>
    </row>
    <row r="795" spans="2:11">
      <c r="B795" s="4" t="s">
        <v>332</v>
      </c>
      <c r="C795" s="5">
        <f>IF(B795&lt;&gt;"",VLOOKUP(B795,Projetos!E:F,2,0),"")</f>
        <v>44</v>
      </c>
      <c r="D795" s="5"/>
      <c r="E795" s="4" t="s">
        <v>25</v>
      </c>
      <c r="F795" s="69" t="s">
        <v>356</v>
      </c>
      <c r="G795" s="5" t="s">
        <v>20</v>
      </c>
      <c r="H795" s="10">
        <v>45484</v>
      </c>
      <c r="I795" s="30">
        <v>0.125</v>
      </c>
      <c r="J795" s="5" t="s">
        <v>14</v>
      </c>
      <c r="K795" s="22"/>
    </row>
    <row r="796" spans="2:11">
      <c r="B796" s="4" t="s">
        <v>332</v>
      </c>
      <c r="C796" s="5">
        <f>IF(B796&lt;&gt;"",VLOOKUP(B796,Projetos!E:F,2,0),"")</f>
        <v>44</v>
      </c>
      <c r="D796" s="5"/>
      <c r="E796" s="4" t="s">
        <v>49</v>
      </c>
      <c r="F796" s="69" t="s">
        <v>355</v>
      </c>
      <c r="G796" s="5" t="s">
        <v>28</v>
      </c>
      <c r="H796" s="10">
        <v>45485</v>
      </c>
      <c r="I796" s="30">
        <v>0.33333333333333331</v>
      </c>
      <c r="J796" s="5" t="s">
        <v>14</v>
      </c>
      <c r="K796" s="22"/>
    </row>
    <row r="797" spans="2:11">
      <c r="B797" s="4" t="s">
        <v>332</v>
      </c>
      <c r="C797" s="5">
        <f>IF(B797&lt;&gt;"",VLOOKUP(B797,Projetos!E:F,2,0),"")</f>
        <v>44</v>
      </c>
      <c r="D797" s="5"/>
      <c r="E797" s="4" t="s">
        <v>25</v>
      </c>
      <c r="F797" s="69" t="s">
        <v>356</v>
      </c>
      <c r="G797" s="5" t="s">
        <v>20</v>
      </c>
      <c r="H797" s="10">
        <v>45485</v>
      </c>
      <c r="I797" s="30">
        <v>0.125</v>
      </c>
      <c r="J797" s="5" t="s">
        <v>14</v>
      </c>
      <c r="K797" s="22"/>
    </row>
    <row r="798" spans="2:11">
      <c r="B798" s="4" t="s">
        <v>61</v>
      </c>
      <c r="C798" s="5">
        <f>IF(B798&lt;&gt;"",VLOOKUP(B798,Projetos!E:F,2,0),"")</f>
        <v>11</v>
      </c>
      <c r="D798" s="5"/>
      <c r="E798" s="4" t="s">
        <v>158</v>
      </c>
      <c r="F798" s="69" t="s">
        <v>357</v>
      </c>
      <c r="G798" s="5" t="s">
        <v>13</v>
      </c>
      <c r="H798" s="10">
        <v>45485</v>
      </c>
      <c r="I798" s="30">
        <v>0.25</v>
      </c>
      <c r="J798" s="5" t="s">
        <v>14</v>
      </c>
      <c r="K798" s="22"/>
    </row>
    <row r="799" spans="2:11">
      <c r="B799" s="4" t="s">
        <v>140</v>
      </c>
      <c r="C799" s="5">
        <f>IF(B799&lt;&gt;"",VLOOKUP(B799,Projetos!E:F,2,0),"")</f>
        <v>39</v>
      </c>
      <c r="D799" s="5"/>
      <c r="E799" s="4" t="s">
        <v>288</v>
      </c>
      <c r="F799" s="69" t="s">
        <v>358</v>
      </c>
      <c r="G799" s="5" t="s">
        <v>174</v>
      </c>
      <c r="H799" s="10">
        <v>45485</v>
      </c>
      <c r="I799" s="30">
        <v>0.16666666666666666</v>
      </c>
      <c r="J799" s="5" t="s">
        <v>14</v>
      </c>
      <c r="K799" s="22"/>
    </row>
    <row r="800" spans="2:11">
      <c r="B800" s="4" t="s">
        <v>140</v>
      </c>
      <c r="C800" s="5">
        <f>IF(B800&lt;&gt;"",VLOOKUP(B800,Projetos!E:F,2,0),"")</f>
        <v>39</v>
      </c>
      <c r="D800" s="5"/>
      <c r="E800" s="4" t="s">
        <v>288</v>
      </c>
      <c r="F800" s="69" t="s">
        <v>358</v>
      </c>
      <c r="G800" s="5" t="s">
        <v>64</v>
      </c>
      <c r="H800" s="10">
        <v>45485</v>
      </c>
      <c r="I800" s="30">
        <v>0.16666666666666666</v>
      </c>
      <c r="J800" s="5" t="s">
        <v>14</v>
      </c>
      <c r="K800" s="22"/>
    </row>
    <row r="801" spans="2:11">
      <c r="B801" s="4" t="s">
        <v>359</v>
      </c>
      <c r="C801" s="5">
        <f>IF(B801&lt;&gt;"",VLOOKUP(B801,Projetos!E:F,2,0),"")</f>
        <v>46</v>
      </c>
      <c r="D801" s="5"/>
      <c r="E801" s="4" t="s">
        <v>26</v>
      </c>
      <c r="F801" s="69" t="s">
        <v>347</v>
      </c>
      <c r="G801" s="5" t="s">
        <v>34</v>
      </c>
      <c r="H801" s="10">
        <v>45485</v>
      </c>
      <c r="I801" s="30">
        <v>8.3333333333333329E-2</v>
      </c>
      <c r="J801" s="5" t="s">
        <v>14</v>
      </c>
      <c r="K801" s="22"/>
    </row>
    <row r="802" spans="2:11">
      <c r="B802" s="4" t="s">
        <v>359</v>
      </c>
      <c r="C802" s="5">
        <f>IF(B802&lt;&gt;"",VLOOKUP(B802,Projetos!E:F,2,0),"")</f>
        <v>46</v>
      </c>
      <c r="D802" s="5"/>
      <c r="E802" s="4" t="s">
        <v>31</v>
      </c>
      <c r="F802" s="69" t="s">
        <v>32</v>
      </c>
      <c r="G802" s="5" t="s">
        <v>34</v>
      </c>
      <c r="H802" s="10">
        <v>45485</v>
      </c>
      <c r="I802" s="30">
        <v>4.1666666666666664E-2</v>
      </c>
      <c r="J802" s="5" t="s">
        <v>14</v>
      </c>
      <c r="K802" s="22"/>
    </row>
    <row r="803" spans="2:11">
      <c r="B803" s="4" t="s">
        <v>359</v>
      </c>
      <c r="C803" s="5">
        <f>IF(B803&lt;&gt;"",VLOOKUP(B803,Projetos!E:F,2,0),"")</f>
        <v>46</v>
      </c>
      <c r="D803" s="5"/>
      <c r="E803" s="4" t="s">
        <v>31</v>
      </c>
      <c r="F803" s="69" t="s">
        <v>360</v>
      </c>
      <c r="G803" s="5" t="s">
        <v>20</v>
      </c>
      <c r="H803" s="10">
        <v>45485</v>
      </c>
      <c r="I803" s="30">
        <v>4.1666666666666664E-2</v>
      </c>
      <c r="J803" s="5" t="s">
        <v>14</v>
      </c>
      <c r="K803" s="22"/>
    </row>
    <row r="804" spans="2:11" ht="30">
      <c r="B804" s="4" t="s">
        <v>140</v>
      </c>
      <c r="C804" s="5">
        <f>IF(B804&lt;&gt;"",VLOOKUP(B804,Projetos!E:F,2,0),"")</f>
        <v>39</v>
      </c>
      <c r="D804" s="5"/>
      <c r="E804" s="4" t="s">
        <v>49</v>
      </c>
      <c r="F804" s="69" t="s">
        <v>361</v>
      </c>
      <c r="G804" s="5" t="s">
        <v>13</v>
      </c>
      <c r="H804" s="10">
        <v>45488</v>
      </c>
      <c r="I804" s="30">
        <v>8.3333333333333329E-2</v>
      </c>
      <c r="J804" s="5" t="s">
        <v>14</v>
      </c>
      <c r="K804" s="22"/>
    </row>
    <row r="805" spans="2:11">
      <c r="B805" s="4" t="s">
        <v>150</v>
      </c>
      <c r="C805" s="5">
        <f>IF(B805&lt;&gt;"",VLOOKUP(B805,Projetos!E:F,2,0),"")</f>
        <v>22</v>
      </c>
      <c r="D805" s="5"/>
      <c r="E805" s="4" t="s">
        <v>25</v>
      </c>
      <c r="F805" s="69" t="s">
        <v>330</v>
      </c>
      <c r="G805" s="5" t="s">
        <v>42</v>
      </c>
      <c r="H805" s="10">
        <v>45483</v>
      </c>
      <c r="I805" s="30">
        <v>0.125</v>
      </c>
      <c r="J805" s="5" t="s">
        <v>14</v>
      </c>
      <c r="K805" s="22"/>
    </row>
    <row r="806" spans="2:11">
      <c r="B806" s="4" t="s">
        <v>192</v>
      </c>
      <c r="C806" s="5">
        <f>IF(B806&lt;&gt;"",VLOOKUP(B806,Projetos!E:F,2,0),"")</f>
        <v>32</v>
      </c>
      <c r="D806" s="5"/>
      <c r="E806" s="4" t="s">
        <v>193</v>
      </c>
      <c r="F806" s="69" t="s">
        <v>362</v>
      </c>
      <c r="G806" s="5" t="s">
        <v>34</v>
      </c>
      <c r="H806" s="10">
        <v>45488</v>
      </c>
      <c r="I806" s="30">
        <v>8.3333333333333329E-2</v>
      </c>
      <c r="J806" s="5" t="s">
        <v>14</v>
      </c>
      <c r="K806" s="22"/>
    </row>
    <row r="807" spans="2:11">
      <c r="B807" s="4" t="s">
        <v>128</v>
      </c>
      <c r="C807" s="5">
        <f>IF(B807&lt;&gt;"",VLOOKUP(B807,Projetos!E:F,2,0),"")</f>
        <v>23</v>
      </c>
      <c r="D807" s="5"/>
      <c r="E807" s="4" t="s">
        <v>16</v>
      </c>
      <c r="F807" s="69" t="s">
        <v>363</v>
      </c>
      <c r="G807" s="5" t="s">
        <v>178</v>
      </c>
      <c r="H807" s="10">
        <v>45488</v>
      </c>
      <c r="I807" s="30">
        <v>8.3333333333333329E-2</v>
      </c>
      <c r="J807" s="5" t="s">
        <v>14</v>
      </c>
      <c r="K807" s="22"/>
    </row>
    <row r="808" spans="2:11" ht="30">
      <c r="B808" s="4" t="s">
        <v>10</v>
      </c>
      <c r="C808" s="5">
        <f>IF(B808&lt;&gt;"",VLOOKUP(B808,Projetos!E:F,2,0),"")</f>
        <v>2</v>
      </c>
      <c r="D808" s="5"/>
      <c r="E808" s="4" t="s">
        <v>16</v>
      </c>
      <c r="F808" s="69" t="s">
        <v>364</v>
      </c>
      <c r="G808" s="5" t="s">
        <v>178</v>
      </c>
      <c r="H808" s="10">
        <v>45488</v>
      </c>
      <c r="I808" s="30">
        <v>8.3333333333333329E-2</v>
      </c>
      <c r="J808" s="5" t="s">
        <v>14</v>
      </c>
      <c r="K808" s="22"/>
    </row>
    <row r="809" spans="2:11">
      <c r="B809" s="4" t="s">
        <v>192</v>
      </c>
      <c r="C809" s="5">
        <f>IF(B809&lt;&gt;"",VLOOKUP(B809,Projetos!E:F,2,0),"")</f>
        <v>32</v>
      </c>
      <c r="D809" s="5"/>
      <c r="E809" s="4" t="s">
        <v>193</v>
      </c>
      <c r="F809" s="69" t="s">
        <v>365</v>
      </c>
      <c r="G809" s="5" t="s">
        <v>178</v>
      </c>
      <c r="H809" s="10">
        <v>45488</v>
      </c>
      <c r="I809" s="30">
        <v>0.125</v>
      </c>
      <c r="J809" s="5" t="s">
        <v>14</v>
      </c>
      <c r="K809" s="22"/>
    </row>
    <row r="810" spans="2:11">
      <c r="B810" s="4" t="s">
        <v>140</v>
      </c>
      <c r="C810" s="5">
        <f>IF(B810&lt;&gt;"",VLOOKUP(B810,Projetos!E:F,2,0),"")</f>
        <v>39</v>
      </c>
      <c r="D810" s="5"/>
      <c r="E810" s="4" t="s">
        <v>11</v>
      </c>
      <c r="F810" s="69" t="s">
        <v>366</v>
      </c>
      <c r="G810" s="5" t="s">
        <v>64</v>
      </c>
      <c r="H810" s="10">
        <v>45488</v>
      </c>
      <c r="I810" s="30">
        <v>0.16666666666666666</v>
      </c>
      <c r="J810" s="5" t="s">
        <v>14</v>
      </c>
      <c r="K810" s="22"/>
    </row>
    <row r="811" spans="2:11">
      <c r="B811" s="4" t="s">
        <v>128</v>
      </c>
      <c r="C811" s="5">
        <f>IF(B811&lt;&gt;"",VLOOKUP(B811,Projetos!E:F,2,0),"")</f>
        <v>23</v>
      </c>
      <c r="D811" s="5"/>
      <c r="E811" s="4" t="s">
        <v>16</v>
      </c>
      <c r="F811" s="69" t="s">
        <v>367</v>
      </c>
      <c r="G811" s="5" t="s">
        <v>20</v>
      </c>
      <c r="H811" s="10">
        <v>45488</v>
      </c>
      <c r="I811" s="30">
        <v>6.9444444444444448E-2</v>
      </c>
      <c r="J811" s="5" t="s">
        <v>14</v>
      </c>
      <c r="K811" s="22"/>
    </row>
    <row r="812" spans="2:11">
      <c r="B812" s="4" t="s">
        <v>128</v>
      </c>
      <c r="C812" s="5">
        <f>IF(B812&lt;&gt;"",VLOOKUP(B812,Projetos!E:F,2,0),"")</f>
        <v>23</v>
      </c>
      <c r="D812" s="5"/>
      <c r="E812" s="4" t="s">
        <v>16</v>
      </c>
      <c r="F812" s="69" t="s">
        <v>367</v>
      </c>
      <c r="G812" s="5" t="s">
        <v>178</v>
      </c>
      <c r="H812" s="10">
        <v>45488</v>
      </c>
      <c r="I812" s="30">
        <v>6.9444444444444448E-2</v>
      </c>
      <c r="J812" s="5" t="s">
        <v>14</v>
      </c>
      <c r="K812" s="22"/>
    </row>
    <row r="813" spans="2:11">
      <c r="B813" s="4" t="s">
        <v>128</v>
      </c>
      <c r="C813" s="5">
        <f>IF(B813&lt;&gt;"",VLOOKUP(B813,Projetos!E:F,2,0),"")</f>
        <v>23</v>
      </c>
      <c r="D813" s="5"/>
      <c r="E813" s="4" t="s">
        <v>16</v>
      </c>
      <c r="F813" s="69" t="s">
        <v>367</v>
      </c>
      <c r="G813" s="5" t="s">
        <v>34</v>
      </c>
      <c r="H813" s="10">
        <v>45488</v>
      </c>
      <c r="I813" s="30">
        <v>6.9444444444444448E-2</v>
      </c>
      <c r="J813" s="5" t="s">
        <v>14</v>
      </c>
      <c r="K813" s="22"/>
    </row>
    <row r="814" spans="2:11">
      <c r="B814" s="4" t="s">
        <v>128</v>
      </c>
      <c r="C814" s="5">
        <f>IF(B814&lt;&gt;"",VLOOKUP(B814,Projetos!E:F,2,0),"")</f>
        <v>23</v>
      </c>
      <c r="D814" s="5"/>
      <c r="E814" s="4" t="s">
        <v>16</v>
      </c>
      <c r="F814" s="69" t="s">
        <v>367</v>
      </c>
      <c r="G814" s="5" t="s">
        <v>64</v>
      </c>
      <c r="H814" s="10">
        <v>45488</v>
      </c>
      <c r="I814" s="30">
        <v>6.9444444444444448E-2</v>
      </c>
      <c r="J814" s="5" t="s">
        <v>14</v>
      </c>
      <c r="K814" s="22"/>
    </row>
    <row r="815" spans="2:11">
      <c r="B815" s="4" t="s">
        <v>128</v>
      </c>
      <c r="C815" s="5">
        <f>IF(B815&lt;&gt;"",VLOOKUP(B815,Projetos!E:F,2,0),"")</f>
        <v>23</v>
      </c>
      <c r="D815" s="5"/>
      <c r="E815" s="4" t="s">
        <v>16</v>
      </c>
      <c r="F815" s="69" t="s">
        <v>367</v>
      </c>
      <c r="G815" s="5" t="s">
        <v>66</v>
      </c>
      <c r="H815" s="10">
        <v>45488</v>
      </c>
      <c r="I815" s="30">
        <v>6.9444444444444448E-2</v>
      </c>
      <c r="J815" s="5" t="s">
        <v>14</v>
      </c>
      <c r="K815" s="22"/>
    </row>
    <row r="816" spans="2:11">
      <c r="B816" s="4" t="s">
        <v>128</v>
      </c>
      <c r="C816" s="5">
        <f>IF(B816&lt;&gt;"",VLOOKUP(B816,Projetos!E:F,2,0),"")</f>
        <v>23</v>
      </c>
      <c r="D816" s="5"/>
      <c r="E816" s="4" t="s">
        <v>16</v>
      </c>
      <c r="F816" s="69" t="s">
        <v>367</v>
      </c>
      <c r="G816" s="5" t="s">
        <v>174</v>
      </c>
      <c r="H816" s="10">
        <v>45488</v>
      </c>
      <c r="I816" s="30">
        <v>6.9444444444444448E-2</v>
      </c>
      <c r="J816" s="5" t="s">
        <v>14</v>
      </c>
      <c r="K816" s="22"/>
    </row>
    <row r="817" spans="2:11">
      <c r="B817" s="4" t="s">
        <v>128</v>
      </c>
      <c r="C817" s="5">
        <f>IF(B817&lt;&gt;"",VLOOKUP(B817,Projetos!E:F,2,0),"")</f>
        <v>23</v>
      </c>
      <c r="D817" s="5"/>
      <c r="E817" s="4" t="s">
        <v>40</v>
      </c>
      <c r="F817" s="69" t="s">
        <v>368</v>
      </c>
      <c r="G817" s="5" t="s">
        <v>42</v>
      </c>
      <c r="H817" s="10">
        <v>45488</v>
      </c>
      <c r="I817" s="30">
        <v>0.16666666666666666</v>
      </c>
      <c r="J817" s="5" t="s">
        <v>14</v>
      </c>
      <c r="K817" s="22"/>
    </row>
    <row r="818" spans="2:11">
      <c r="B818" s="4" t="s">
        <v>128</v>
      </c>
      <c r="C818" s="5">
        <f>IF(B818&lt;&gt;"",VLOOKUP(B818,Projetos!E:F,2,0),"")</f>
        <v>23</v>
      </c>
      <c r="D818" s="5"/>
      <c r="E818" s="4" t="s">
        <v>16</v>
      </c>
      <c r="F818" s="69" t="s">
        <v>367</v>
      </c>
      <c r="G818" s="5" t="s">
        <v>28</v>
      </c>
      <c r="H818" s="10">
        <v>45488</v>
      </c>
      <c r="I818" s="30">
        <v>6.9444444444444448E-2</v>
      </c>
      <c r="J818" s="5" t="s">
        <v>14</v>
      </c>
      <c r="K818" s="22"/>
    </row>
    <row r="819" spans="2:11">
      <c r="B819" s="4" t="s">
        <v>128</v>
      </c>
      <c r="C819" s="5">
        <f>IF(B819&lt;&gt;"",VLOOKUP(B819,Projetos!E:F,2,0),"")</f>
        <v>23</v>
      </c>
      <c r="D819" s="5"/>
      <c r="E819" s="4" t="s">
        <v>16</v>
      </c>
      <c r="F819" s="69" t="s">
        <v>367</v>
      </c>
      <c r="G819" s="5" t="s">
        <v>13</v>
      </c>
      <c r="H819" s="10">
        <v>45488</v>
      </c>
      <c r="I819" s="30">
        <v>6.9444444444444448E-2</v>
      </c>
      <c r="J819" s="5" t="s">
        <v>14</v>
      </c>
      <c r="K819" s="22"/>
    </row>
    <row r="820" spans="2:11" ht="30">
      <c r="B820" s="4" t="s">
        <v>138</v>
      </c>
      <c r="C820" s="5">
        <f>IF(B820&lt;&gt;"",VLOOKUP(B820,Projetos!E:F,2,0),"")</f>
        <v>30</v>
      </c>
      <c r="D820" s="5"/>
      <c r="E820" s="4" t="s">
        <v>16</v>
      </c>
      <c r="F820" s="69" t="s">
        <v>369</v>
      </c>
      <c r="G820" s="5" t="s">
        <v>174</v>
      </c>
      <c r="H820" s="10">
        <v>45488</v>
      </c>
      <c r="I820" s="30">
        <v>8.3333333333333329E-2</v>
      </c>
      <c r="J820" s="5" t="s">
        <v>14</v>
      </c>
      <c r="K820" s="22"/>
    </row>
    <row r="821" spans="2:11" ht="30">
      <c r="B821" s="4" t="s">
        <v>138</v>
      </c>
      <c r="C821" s="5">
        <f>IF(B821&lt;&gt;"",VLOOKUP(B821,Projetos!E:F,2,0),"")</f>
        <v>30</v>
      </c>
      <c r="D821" s="5"/>
      <c r="E821" s="4" t="s">
        <v>16</v>
      </c>
      <c r="F821" s="69" t="s">
        <v>369</v>
      </c>
      <c r="G821" s="5" t="s">
        <v>20</v>
      </c>
      <c r="H821" s="10">
        <v>45488</v>
      </c>
      <c r="I821" s="30">
        <v>8.3333333333333329E-2</v>
      </c>
      <c r="J821" s="5" t="s">
        <v>14</v>
      </c>
      <c r="K821" s="22"/>
    </row>
    <row r="822" spans="2:11" ht="30">
      <c r="B822" s="4" t="s">
        <v>138</v>
      </c>
      <c r="C822" s="5">
        <f>IF(B822&lt;&gt;"",VLOOKUP(B822,Projetos!E:F,2,0),"")</f>
        <v>30</v>
      </c>
      <c r="D822" s="5"/>
      <c r="E822" s="4" t="s">
        <v>16</v>
      </c>
      <c r="F822" s="69" t="s">
        <v>369</v>
      </c>
      <c r="G822" s="5" t="s">
        <v>28</v>
      </c>
      <c r="H822" s="10">
        <v>45488</v>
      </c>
      <c r="I822" s="30">
        <v>8.3333333333333329E-2</v>
      </c>
      <c r="J822" s="5" t="s">
        <v>14</v>
      </c>
      <c r="K822" s="22"/>
    </row>
    <row r="823" spans="2:11">
      <c r="B823" s="4" t="s">
        <v>128</v>
      </c>
      <c r="C823" s="5">
        <f>IF(B823&lt;&gt;"",VLOOKUP(B823,Projetos!E:F,2,0),"")</f>
        <v>23</v>
      </c>
      <c r="D823" s="5"/>
      <c r="E823" s="4" t="s">
        <v>16</v>
      </c>
      <c r="F823" s="69" t="s">
        <v>367</v>
      </c>
      <c r="G823" s="5" t="s">
        <v>42</v>
      </c>
      <c r="H823" s="10">
        <v>45488</v>
      </c>
      <c r="I823" s="30">
        <v>6.9444444444444448E-2</v>
      </c>
      <c r="J823" s="5" t="s">
        <v>14</v>
      </c>
      <c r="K823" s="22"/>
    </row>
    <row r="824" spans="2:11" ht="30">
      <c r="B824" s="4" t="s">
        <v>138</v>
      </c>
      <c r="C824" s="5">
        <f>IF(B824&lt;&gt;"",VLOOKUP(B824,Projetos!E:F,2,0),"")</f>
        <v>30</v>
      </c>
      <c r="D824" s="5"/>
      <c r="E824" s="4" t="s">
        <v>16</v>
      </c>
      <c r="F824" s="69" t="s">
        <v>369</v>
      </c>
      <c r="G824" s="5" t="s">
        <v>13</v>
      </c>
      <c r="H824" s="10">
        <v>45488</v>
      </c>
      <c r="I824" s="30">
        <v>8.3333333333333329E-2</v>
      </c>
      <c r="J824" s="5" t="s">
        <v>14</v>
      </c>
      <c r="K824" s="22"/>
    </row>
    <row r="825" spans="2:11">
      <c r="B825" s="4" t="s">
        <v>10</v>
      </c>
      <c r="C825" s="5">
        <f>IF(B825&lt;&gt;"",VLOOKUP(B825,Projetos!E:F,2,0),"")</f>
        <v>2</v>
      </c>
      <c r="D825" s="5"/>
      <c r="E825" s="4" t="s">
        <v>16</v>
      </c>
      <c r="F825" s="69" t="s">
        <v>370</v>
      </c>
      <c r="G825" s="5" t="s">
        <v>20</v>
      </c>
      <c r="H825" s="10">
        <v>45488</v>
      </c>
      <c r="I825" s="30">
        <v>4.1666666666666664E-2</v>
      </c>
      <c r="J825" s="5" t="s">
        <v>14</v>
      </c>
      <c r="K825" s="22"/>
    </row>
    <row r="826" spans="2:11">
      <c r="B826" s="4" t="s">
        <v>10</v>
      </c>
      <c r="C826" s="5">
        <f>IF(B826&lt;&gt;"",VLOOKUP(B826,Projetos!E:F,2,0),"")</f>
        <v>2</v>
      </c>
      <c r="D826" s="5"/>
      <c r="E826" s="4" t="s">
        <v>16</v>
      </c>
      <c r="F826" s="69" t="s">
        <v>370</v>
      </c>
      <c r="G826" s="5" t="s">
        <v>178</v>
      </c>
      <c r="H826" s="10">
        <v>45488</v>
      </c>
      <c r="I826" s="30">
        <v>4.1666666666666664E-2</v>
      </c>
      <c r="J826" s="5" t="s">
        <v>14</v>
      </c>
      <c r="K826" s="22"/>
    </row>
    <row r="827" spans="2:11">
      <c r="B827" s="4" t="s">
        <v>10</v>
      </c>
      <c r="C827" s="5">
        <f>IF(B827&lt;&gt;"",VLOOKUP(B827,Projetos!E:F,2,0),"")</f>
        <v>2</v>
      </c>
      <c r="D827" s="5"/>
      <c r="E827" s="4" t="s">
        <v>16</v>
      </c>
      <c r="F827" s="69" t="s">
        <v>370</v>
      </c>
      <c r="G827" s="5" t="s">
        <v>28</v>
      </c>
      <c r="H827" s="10">
        <v>45488</v>
      </c>
      <c r="I827" s="30">
        <v>4.1666666666666664E-2</v>
      </c>
      <c r="J827" s="5" t="s">
        <v>14</v>
      </c>
      <c r="K827" s="22"/>
    </row>
    <row r="828" spans="2:11" ht="30">
      <c r="B828" s="4" t="s">
        <v>138</v>
      </c>
      <c r="C828" s="5">
        <f>IF(B828&lt;&gt;"",VLOOKUP(B828,Projetos!E:F,2,0),"")</f>
        <v>30</v>
      </c>
      <c r="D828" s="5"/>
      <c r="E828" s="4" t="s">
        <v>16</v>
      </c>
      <c r="F828" s="69" t="s">
        <v>369</v>
      </c>
      <c r="G828" s="5" t="s">
        <v>42</v>
      </c>
      <c r="H828" s="10">
        <v>45488</v>
      </c>
      <c r="I828" s="30">
        <v>8.3333333333333329E-2</v>
      </c>
      <c r="J828" s="5" t="s">
        <v>14</v>
      </c>
      <c r="K828" s="22"/>
    </row>
    <row r="829" spans="2:11" ht="30">
      <c r="B829" s="4" t="s">
        <v>140</v>
      </c>
      <c r="C829" s="5">
        <f>IF(B829&lt;&gt;"",VLOOKUP(B829,Projetos!E:F,2,0),"")</f>
        <v>39</v>
      </c>
      <c r="D829" s="5"/>
      <c r="E829" s="4" t="s">
        <v>16</v>
      </c>
      <c r="F829" s="69" t="s">
        <v>371</v>
      </c>
      <c r="G829" s="5" t="s">
        <v>20</v>
      </c>
      <c r="H829" s="10">
        <v>45488</v>
      </c>
      <c r="I829" s="30">
        <v>4.1666666666666664E-2</v>
      </c>
      <c r="J829" s="5" t="s">
        <v>14</v>
      </c>
      <c r="K829" s="22"/>
    </row>
    <row r="830" spans="2:11" ht="30">
      <c r="B830" s="4" t="s">
        <v>140</v>
      </c>
      <c r="C830" s="5">
        <f>IF(B830&lt;&gt;"",VLOOKUP(B830,Projetos!E:F,2,0),"")</f>
        <v>39</v>
      </c>
      <c r="D830" s="5"/>
      <c r="E830" s="4" t="s">
        <v>16</v>
      </c>
      <c r="F830" s="69" t="s">
        <v>371</v>
      </c>
      <c r="G830" s="5" t="s">
        <v>64</v>
      </c>
      <c r="H830" s="10">
        <v>45488</v>
      </c>
      <c r="I830" s="30">
        <v>0.125</v>
      </c>
      <c r="J830" s="5" t="s">
        <v>14</v>
      </c>
      <c r="K830" s="22"/>
    </row>
    <row r="831" spans="2:11" ht="30">
      <c r="B831" s="4" t="s">
        <v>140</v>
      </c>
      <c r="C831" s="5">
        <f>IF(B831&lt;&gt;"",VLOOKUP(B831,Projetos!E:F,2,0),"")</f>
        <v>39</v>
      </c>
      <c r="D831" s="5"/>
      <c r="E831" s="4" t="s">
        <v>16</v>
      </c>
      <c r="F831" s="69" t="s">
        <v>371</v>
      </c>
      <c r="G831" s="5" t="s">
        <v>66</v>
      </c>
      <c r="H831" s="10">
        <v>45488</v>
      </c>
      <c r="I831" s="30">
        <v>4.1666666666666664E-2</v>
      </c>
      <c r="J831" s="5" t="s">
        <v>14</v>
      </c>
      <c r="K831" s="22"/>
    </row>
    <row r="832" spans="2:11">
      <c r="B832" s="24" t="s">
        <v>128</v>
      </c>
      <c r="C832" s="44">
        <f>IF(B832&lt;&gt;"",VLOOKUP(B832,Projetos!E:F,2,0),"")</f>
        <v>23</v>
      </c>
      <c r="D832" s="44"/>
      <c r="E832" s="24" t="s">
        <v>49</v>
      </c>
      <c r="F832" s="70" t="s">
        <v>372</v>
      </c>
      <c r="G832" s="44" t="s">
        <v>20</v>
      </c>
      <c r="H832" s="45">
        <v>45488</v>
      </c>
      <c r="I832" s="46">
        <v>6.25E-2</v>
      </c>
      <c r="J832" s="44" t="s">
        <v>14</v>
      </c>
      <c r="K832" s="26"/>
    </row>
    <row r="833" spans="2:11" s="22" customFormat="1" ht="30">
      <c r="B833" s="22" t="s">
        <v>140</v>
      </c>
      <c r="C833" s="35">
        <v>39</v>
      </c>
      <c r="D833" s="35"/>
      <c r="E833" s="22" t="s">
        <v>144</v>
      </c>
      <c r="F833" s="71" t="s">
        <v>373</v>
      </c>
      <c r="G833" s="35" t="s">
        <v>66</v>
      </c>
      <c r="H833" s="42">
        <v>45488</v>
      </c>
      <c r="I833" s="43">
        <v>0.20833333333333334</v>
      </c>
      <c r="J833" s="5" t="s">
        <v>14</v>
      </c>
    </row>
    <row r="834" spans="2:11">
      <c r="B834" s="47" t="s">
        <v>10</v>
      </c>
      <c r="C834" s="48">
        <f>IF(B834&lt;&gt;"",VLOOKUP(B834,Projetos!E:F,2,0),"")</f>
        <v>2</v>
      </c>
      <c r="D834" s="48"/>
      <c r="E834" s="47" t="s">
        <v>16</v>
      </c>
      <c r="F834" s="78" t="s">
        <v>370</v>
      </c>
      <c r="G834" s="48" t="s">
        <v>42</v>
      </c>
      <c r="H834" s="49">
        <v>45488</v>
      </c>
      <c r="I834" s="52">
        <v>4.1666666666666664E-2</v>
      </c>
      <c r="J834" s="48" t="s">
        <v>14</v>
      </c>
      <c r="K834" s="50"/>
    </row>
    <row r="835" spans="2:11">
      <c r="B835" s="4" t="s">
        <v>33</v>
      </c>
      <c r="C835" s="5">
        <f>IF(B835&lt;&gt;"",VLOOKUP(B835,Projetos!E:F,2,0),"")</f>
        <v>18</v>
      </c>
      <c r="D835" s="5"/>
      <c r="E835" s="4" t="s">
        <v>31</v>
      </c>
      <c r="F835" s="69" t="s">
        <v>374</v>
      </c>
      <c r="G835" s="5" t="s">
        <v>42</v>
      </c>
      <c r="H835" s="10">
        <v>45489</v>
      </c>
      <c r="I835" s="30">
        <v>0.16666666666666666</v>
      </c>
      <c r="J835" s="5" t="s">
        <v>14</v>
      </c>
      <c r="K835" s="22"/>
    </row>
    <row r="836" spans="2:11" ht="30">
      <c r="B836" s="4" t="s">
        <v>140</v>
      </c>
      <c r="C836" s="5">
        <f>IF(B836&lt;&gt;"",VLOOKUP(B836,Projetos!E:F,2,0),"")</f>
        <v>39</v>
      </c>
      <c r="D836" s="5"/>
      <c r="E836" s="4" t="s">
        <v>144</v>
      </c>
      <c r="F836" s="82" t="s">
        <v>373</v>
      </c>
      <c r="G836" s="5" t="s">
        <v>66</v>
      </c>
      <c r="H836" s="10">
        <v>45489</v>
      </c>
      <c r="I836" s="21">
        <v>0.25</v>
      </c>
      <c r="J836" s="5" t="s">
        <v>14</v>
      </c>
      <c r="K836" s="22"/>
    </row>
    <row r="837" spans="2:11">
      <c r="B837" s="4" t="s">
        <v>118</v>
      </c>
      <c r="C837" s="5">
        <f>IF(B837&lt;&gt;"",VLOOKUP(B837,Projetos!E:F,2,0),"")</f>
        <v>21</v>
      </c>
      <c r="D837" s="5"/>
      <c r="E837" s="23" t="s">
        <v>49</v>
      </c>
      <c r="F837" s="111" t="s">
        <v>375</v>
      </c>
      <c r="G837" s="19" t="s">
        <v>28</v>
      </c>
      <c r="H837" s="10">
        <v>45489</v>
      </c>
      <c r="I837" s="21">
        <v>0.33333333333333331</v>
      </c>
      <c r="J837" s="5" t="s">
        <v>14</v>
      </c>
      <c r="K837" s="22"/>
    </row>
    <row r="838" spans="2:11">
      <c r="B838" s="4" t="s">
        <v>118</v>
      </c>
      <c r="C838" s="5">
        <f>IF(B838&lt;&gt;"",VLOOKUP(B838,Projetos!E:F,2,0),"")</f>
        <v>21</v>
      </c>
      <c r="D838" s="5"/>
      <c r="E838" s="23" t="s">
        <v>49</v>
      </c>
      <c r="F838" s="111" t="s">
        <v>376</v>
      </c>
      <c r="G838" s="19" t="s">
        <v>28</v>
      </c>
      <c r="H838" s="10">
        <v>45490</v>
      </c>
      <c r="I838" s="21">
        <v>0.33333333333333331</v>
      </c>
      <c r="J838" s="5" t="s">
        <v>14</v>
      </c>
      <c r="K838" s="22"/>
    </row>
    <row r="839" spans="2:11">
      <c r="B839" s="4" t="s">
        <v>118</v>
      </c>
      <c r="C839" s="5">
        <f>IF(B839&lt;&gt;"",VLOOKUP(B839,Projetos!E:F,2,0),"")</f>
        <v>21</v>
      </c>
      <c r="D839" s="5"/>
      <c r="E839" s="23" t="s">
        <v>49</v>
      </c>
      <c r="F839" s="111" t="s">
        <v>377</v>
      </c>
      <c r="G839" s="19" t="s">
        <v>28</v>
      </c>
      <c r="H839" s="10">
        <v>45491</v>
      </c>
      <c r="I839" s="21">
        <v>0.33333333333333331</v>
      </c>
      <c r="J839" s="5" t="s">
        <v>14</v>
      </c>
      <c r="K839" s="22"/>
    </row>
    <row r="840" spans="2:11">
      <c r="B840" s="4" t="s">
        <v>118</v>
      </c>
      <c r="C840" s="5">
        <f>IF(B840&lt;&gt;"",VLOOKUP(B840,Projetos!E:F,2,0),"")</f>
        <v>21</v>
      </c>
      <c r="D840" s="5"/>
      <c r="E840" s="23" t="s">
        <v>49</v>
      </c>
      <c r="F840" s="115" t="s">
        <v>378</v>
      </c>
      <c r="G840" s="19" t="s">
        <v>28</v>
      </c>
      <c r="H840" s="10">
        <v>45492</v>
      </c>
      <c r="I840" s="21">
        <v>0.33333333333333331</v>
      </c>
      <c r="J840" s="5" t="s">
        <v>14</v>
      </c>
      <c r="K840" s="22"/>
    </row>
    <row r="841" spans="2:11">
      <c r="B841" s="4" t="s">
        <v>118</v>
      </c>
      <c r="C841" s="5">
        <f>IF(B841&lt;&gt;"",VLOOKUP(B841,Projetos!E:F,2,0),"")</f>
        <v>21</v>
      </c>
      <c r="D841" s="5"/>
      <c r="E841" s="23" t="s">
        <v>49</v>
      </c>
      <c r="F841" s="111" t="s">
        <v>379</v>
      </c>
      <c r="G841" s="19" t="s">
        <v>28</v>
      </c>
      <c r="H841" s="10">
        <v>45495</v>
      </c>
      <c r="I841" s="21">
        <v>0.33333333333333331</v>
      </c>
      <c r="J841" s="5"/>
      <c r="K841" s="22"/>
    </row>
    <row r="842" spans="2:11" ht="30">
      <c r="B842" s="4" t="s">
        <v>380</v>
      </c>
      <c r="C842" s="5">
        <f>IF(B842&lt;&gt;"",VLOOKUP(B842,Projetos!E:F,2,0),"")</f>
        <v>49</v>
      </c>
      <c r="D842" s="5"/>
      <c r="E842" s="4" t="s">
        <v>40</v>
      </c>
      <c r="F842" s="78" t="s">
        <v>381</v>
      </c>
      <c r="G842" s="5" t="s">
        <v>42</v>
      </c>
      <c r="H842" s="10">
        <v>45460</v>
      </c>
      <c r="I842" s="30">
        <v>0.25</v>
      </c>
      <c r="J842" s="5" t="s">
        <v>14</v>
      </c>
      <c r="K842" s="22"/>
    </row>
    <row r="843" spans="2:11" ht="30">
      <c r="B843" s="22" t="s">
        <v>140</v>
      </c>
      <c r="C843" s="35">
        <v>39</v>
      </c>
      <c r="D843" s="35"/>
      <c r="E843" s="22" t="s">
        <v>144</v>
      </c>
      <c r="F843" s="71" t="s">
        <v>373</v>
      </c>
      <c r="G843" s="35" t="s">
        <v>66</v>
      </c>
      <c r="H843" s="42">
        <v>45490</v>
      </c>
      <c r="I843" s="43">
        <v>0.25</v>
      </c>
      <c r="J843" s="5" t="s">
        <v>14</v>
      </c>
      <c r="K843" s="22"/>
    </row>
    <row r="844" spans="2:11" ht="30">
      <c r="B844" s="4" t="s">
        <v>138</v>
      </c>
      <c r="C844" s="5">
        <f>IF(B844&lt;&gt;"",VLOOKUP(B844,Projetos!E:F,2,0),"")</f>
        <v>30</v>
      </c>
      <c r="D844" s="5"/>
      <c r="E844" s="4" t="s">
        <v>31</v>
      </c>
      <c r="F844" s="69" t="s">
        <v>382</v>
      </c>
      <c r="G844" s="5" t="s">
        <v>34</v>
      </c>
      <c r="H844" s="10">
        <v>45490</v>
      </c>
      <c r="I844" s="30">
        <v>0.16666666666666666</v>
      </c>
      <c r="J844" s="5" t="s">
        <v>14</v>
      </c>
      <c r="K844" s="22"/>
    </row>
    <row r="845" spans="2:11">
      <c r="B845" s="4" t="s">
        <v>140</v>
      </c>
      <c r="C845" s="5">
        <f>IF(B845&lt;&gt;"",VLOOKUP(B845,Projetos!E:F,2,0),"")</f>
        <v>39</v>
      </c>
      <c r="D845" s="5"/>
      <c r="E845" s="4" t="s">
        <v>49</v>
      </c>
      <c r="F845" s="69" t="s">
        <v>383</v>
      </c>
      <c r="G845" s="5" t="s">
        <v>64</v>
      </c>
      <c r="H845" s="10">
        <v>45489</v>
      </c>
      <c r="I845" s="30">
        <v>0.14583333333333334</v>
      </c>
      <c r="J845" s="5" t="s">
        <v>14</v>
      </c>
      <c r="K845" s="22"/>
    </row>
    <row r="846" spans="2:11" ht="30">
      <c r="B846" s="4" t="s">
        <v>140</v>
      </c>
      <c r="C846" s="5">
        <f>IF(B846&lt;&gt;"",VLOOKUP(B846,Projetos!E:F,2,0),"")</f>
        <v>39</v>
      </c>
      <c r="D846" s="5"/>
      <c r="E846" s="4" t="s">
        <v>144</v>
      </c>
      <c r="F846" s="71" t="s">
        <v>373</v>
      </c>
      <c r="G846" s="5" t="s">
        <v>64</v>
      </c>
      <c r="H846" s="10">
        <v>45489</v>
      </c>
      <c r="I846" s="30">
        <v>0.16666666666666666</v>
      </c>
      <c r="J846" s="5" t="s">
        <v>14</v>
      </c>
      <c r="K846" s="22"/>
    </row>
    <row r="847" spans="2:11" ht="30">
      <c r="B847" s="4" t="s">
        <v>140</v>
      </c>
      <c r="C847" s="5">
        <f>IF(B847&lt;&gt;"",VLOOKUP(B847,Projetos!E:F,2,0),"")</f>
        <v>39</v>
      </c>
      <c r="D847" s="5"/>
      <c r="E847" s="4" t="s">
        <v>144</v>
      </c>
      <c r="F847" s="71" t="s">
        <v>373</v>
      </c>
      <c r="G847" s="5" t="s">
        <v>64</v>
      </c>
      <c r="H847" s="10">
        <v>45490</v>
      </c>
      <c r="I847" s="30">
        <v>0.29166666666666669</v>
      </c>
      <c r="J847" s="5" t="s">
        <v>14</v>
      </c>
      <c r="K847" s="22"/>
    </row>
    <row r="848" spans="2:11">
      <c r="B848" s="4" t="s">
        <v>380</v>
      </c>
      <c r="C848" s="5">
        <f>IF(B848&lt;&gt;"",VLOOKUP(B848,Projetos!E:F,2,0),"")</f>
        <v>49</v>
      </c>
      <c r="D848" s="5"/>
      <c r="E848" s="4" t="s">
        <v>40</v>
      </c>
      <c r="F848" s="69" t="s">
        <v>384</v>
      </c>
      <c r="G848" s="5" t="s">
        <v>42</v>
      </c>
      <c r="H848" s="10">
        <v>45489</v>
      </c>
      <c r="I848" s="30">
        <v>0.16666666666666666</v>
      </c>
      <c r="J848" s="5" t="s">
        <v>14</v>
      </c>
      <c r="K848" s="22"/>
    </row>
    <row r="849" spans="2:11" ht="30">
      <c r="B849" s="4" t="s">
        <v>385</v>
      </c>
      <c r="C849" s="5">
        <f>IF(B849&lt;&gt;"",VLOOKUP(B849,Projetos!E:F,2,0),"")</f>
        <v>48</v>
      </c>
      <c r="D849" s="5"/>
      <c r="E849" s="4" t="s">
        <v>31</v>
      </c>
      <c r="F849" s="69" t="s">
        <v>386</v>
      </c>
      <c r="G849" s="5" t="s">
        <v>34</v>
      </c>
      <c r="H849" s="10">
        <v>45491</v>
      </c>
      <c r="I849" s="30">
        <v>8.3333333333333329E-2</v>
      </c>
      <c r="J849" s="5" t="s">
        <v>14</v>
      </c>
      <c r="K849" s="22"/>
    </row>
    <row r="850" spans="2:11" ht="30">
      <c r="B850" s="22" t="s">
        <v>140</v>
      </c>
      <c r="C850" s="35">
        <v>39</v>
      </c>
      <c r="D850" s="35"/>
      <c r="E850" s="22" t="s">
        <v>144</v>
      </c>
      <c r="F850" s="71" t="s">
        <v>373</v>
      </c>
      <c r="G850" s="35" t="s">
        <v>66</v>
      </c>
      <c r="H850" s="42">
        <v>45491</v>
      </c>
      <c r="I850" s="43">
        <v>0.125</v>
      </c>
      <c r="J850" s="5" t="s">
        <v>14</v>
      </c>
      <c r="K850" s="22"/>
    </row>
    <row r="851" spans="2:11" ht="45">
      <c r="B851" s="4" t="s">
        <v>385</v>
      </c>
      <c r="C851" s="5">
        <f>IF(B851&lt;&gt;"",VLOOKUP(B851,Projetos!E:F,2,0),"")</f>
        <v>48</v>
      </c>
      <c r="D851" s="5"/>
      <c r="E851" s="4" t="s">
        <v>31</v>
      </c>
      <c r="F851" s="69" t="s">
        <v>387</v>
      </c>
      <c r="G851" s="5" t="s">
        <v>34</v>
      </c>
      <c r="H851" s="10">
        <v>45490</v>
      </c>
      <c r="I851" s="30">
        <v>8.3333333333333329E-2</v>
      </c>
      <c r="J851" s="5" t="s">
        <v>14</v>
      </c>
      <c r="K851" s="22"/>
    </row>
    <row r="852" spans="2:11">
      <c r="B852" s="4" t="s">
        <v>385</v>
      </c>
      <c r="C852" s="5">
        <f>IF(B852&lt;&gt;"",VLOOKUP(B852,Projetos!E:F,2,0),"")</f>
        <v>48</v>
      </c>
      <c r="D852" s="5"/>
      <c r="E852" s="4" t="s">
        <v>40</v>
      </c>
      <c r="F852" s="69" t="s">
        <v>388</v>
      </c>
      <c r="G852" s="5" t="s">
        <v>42</v>
      </c>
      <c r="H852" s="10">
        <v>45491</v>
      </c>
      <c r="I852" s="30">
        <v>0.33333333333333331</v>
      </c>
      <c r="J852" s="5" t="s">
        <v>14</v>
      </c>
      <c r="K852" s="22"/>
    </row>
    <row r="853" spans="2:11" ht="30">
      <c r="B853" s="4" t="s">
        <v>385</v>
      </c>
      <c r="C853" s="5">
        <f>IF(B853&lt;&gt;"",VLOOKUP(B853,Projetos!E:F,2,0),"")</f>
        <v>48</v>
      </c>
      <c r="D853" s="5"/>
      <c r="E853" s="4" t="s">
        <v>31</v>
      </c>
      <c r="F853" s="69" t="s">
        <v>389</v>
      </c>
      <c r="G853" s="5" t="s">
        <v>34</v>
      </c>
      <c r="H853" s="10">
        <v>45492</v>
      </c>
      <c r="I853" s="30">
        <v>8.3333333333333329E-2</v>
      </c>
      <c r="J853" s="5" t="s">
        <v>14</v>
      </c>
      <c r="K853" s="22"/>
    </row>
    <row r="854" spans="2:11">
      <c r="B854" s="4" t="s">
        <v>156</v>
      </c>
      <c r="C854" s="5">
        <f>IF(B854&lt;&gt;"",VLOOKUP(B854,Projetos!E:F,2,0),"")</f>
        <v>3</v>
      </c>
      <c r="D854" s="5"/>
      <c r="E854" s="4" t="s">
        <v>23</v>
      </c>
      <c r="F854" s="69" t="s">
        <v>390</v>
      </c>
      <c r="G854" s="5" t="s">
        <v>66</v>
      </c>
      <c r="H854" s="10">
        <v>45491</v>
      </c>
      <c r="I854" s="21">
        <v>0.125</v>
      </c>
      <c r="J854" s="5" t="s">
        <v>14</v>
      </c>
      <c r="K854" s="22"/>
    </row>
    <row r="855" spans="2:11">
      <c r="B855" s="4" t="s">
        <v>156</v>
      </c>
      <c r="C855" s="5">
        <f>IF(B855&lt;&gt;"",VLOOKUP(B855,Projetos!E:F,2,0),"")</f>
        <v>3</v>
      </c>
      <c r="D855" s="5"/>
      <c r="E855" s="4" t="s">
        <v>23</v>
      </c>
      <c r="F855" s="69" t="s">
        <v>390</v>
      </c>
      <c r="G855" s="5" t="s">
        <v>66</v>
      </c>
      <c r="H855" s="10">
        <v>45492</v>
      </c>
      <c r="I855" s="21">
        <v>0.125</v>
      </c>
      <c r="J855" s="5" t="s">
        <v>14</v>
      </c>
      <c r="K855" s="22"/>
    </row>
    <row r="856" spans="2:11">
      <c r="B856" s="4" t="s">
        <v>140</v>
      </c>
      <c r="C856" s="5">
        <f>IF(B856&lt;&gt;"",VLOOKUP(B856,Projetos!E:F,2,0),"")</f>
        <v>39</v>
      </c>
      <c r="D856" s="5"/>
      <c r="E856" s="4" t="s">
        <v>21</v>
      </c>
      <c r="F856" s="69" t="s">
        <v>391</v>
      </c>
      <c r="G856" s="5" t="s">
        <v>66</v>
      </c>
      <c r="H856" s="10">
        <v>45492</v>
      </c>
      <c r="I856" s="21">
        <v>4.1666666666666664E-2</v>
      </c>
      <c r="J856" s="5" t="s">
        <v>14</v>
      </c>
      <c r="K856" s="22"/>
    </row>
    <row r="857" spans="2:11">
      <c r="B857" s="4" t="s">
        <v>140</v>
      </c>
      <c r="C857" s="5">
        <f>IF(B857&lt;&gt;"",VLOOKUP(B857,Projetos!E:F,2,0),"")</f>
        <v>39</v>
      </c>
      <c r="D857" s="5"/>
      <c r="E857" s="4" t="s">
        <v>21</v>
      </c>
      <c r="F857" s="69" t="s">
        <v>392</v>
      </c>
      <c r="G857" s="5" t="s">
        <v>66</v>
      </c>
      <c r="H857" s="10">
        <v>45492</v>
      </c>
      <c r="I857" s="21">
        <v>8.3333333333333329E-2</v>
      </c>
      <c r="J857" s="5" t="s">
        <v>14</v>
      </c>
      <c r="K857" s="22"/>
    </row>
    <row r="858" spans="2:11">
      <c r="B858" s="4" t="s">
        <v>140</v>
      </c>
      <c r="C858" s="5">
        <f>IF(B858&lt;&gt;"",VLOOKUP(B858,Projetos!E:F,2,0),"")</f>
        <v>39</v>
      </c>
      <c r="D858" s="5"/>
      <c r="E858" s="4" t="s">
        <v>49</v>
      </c>
      <c r="F858" s="69" t="s">
        <v>358</v>
      </c>
      <c r="G858" s="5" t="s">
        <v>64</v>
      </c>
      <c r="H858" s="10">
        <v>45491</v>
      </c>
      <c r="I858" s="30">
        <v>0.10416666666666667</v>
      </c>
      <c r="J858" s="5" t="s">
        <v>14</v>
      </c>
      <c r="K858" s="22"/>
    </row>
    <row r="859" spans="2:11" ht="18.75" customHeight="1">
      <c r="B859" s="4" t="s">
        <v>140</v>
      </c>
      <c r="C859" s="5">
        <f>IF(B859&lt;&gt;"",VLOOKUP(B859,Projetos!E:F,2,0),"")</f>
        <v>39</v>
      </c>
      <c r="D859" s="5"/>
      <c r="E859" s="4" t="s">
        <v>11</v>
      </c>
      <c r="F859" s="69" t="s">
        <v>393</v>
      </c>
      <c r="G859" s="5" t="s">
        <v>64</v>
      </c>
      <c r="H859" s="10">
        <v>45492</v>
      </c>
      <c r="I859" s="30">
        <v>0.125</v>
      </c>
      <c r="J859" s="5" t="s">
        <v>14</v>
      </c>
      <c r="K859" s="22"/>
    </row>
    <row r="860" spans="2:11">
      <c r="B860" s="4" t="s">
        <v>140</v>
      </c>
      <c r="C860" s="5">
        <f>IF(B860&lt;&gt;"",VLOOKUP(B860,Projetos!E:F,2,0),"")</f>
        <v>39</v>
      </c>
      <c r="D860" s="5"/>
      <c r="E860" s="4" t="s">
        <v>23</v>
      </c>
      <c r="F860" s="69" t="s">
        <v>394</v>
      </c>
      <c r="G860" s="5" t="s">
        <v>64</v>
      </c>
      <c r="H860" s="10">
        <v>45492</v>
      </c>
      <c r="I860" s="30">
        <v>2.0833333333333332E-2</v>
      </c>
      <c r="J860" s="5" t="s">
        <v>14</v>
      </c>
      <c r="K860" s="22"/>
    </row>
    <row r="861" spans="2:11">
      <c r="B861" s="4" t="s">
        <v>136</v>
      </c>
      <c r="C861" s="5">
        <f>IF(B861&lt;&gt;"",VLOOKUP(B861,Projetos!E:F,2,0),"")</f>
        <v>25</v>
      </c>
      <c r="D861" s="5"/>
      <c r="E861" s="4" t="s">
        <v>119</v>
      </c>
      <c r="F861" s="69" t="s">
        <v>395</v>
      </c>
      <c r="G861" s="5" t="s">
        <v>64</v>
      </c>
      <c r="H861" s="10">
        <v>45492</v>
      </c>
      <c r="I861" s="30">
        <v>6.9444444444444441E-3</v>
      </c>
      <c r="J861" s="5" t="s">
        <v>14</v>
      </c>
      <c r="K861" s="22"/>
    </row>
    <row r="862" spans="2:11">
      <c r="B862" s="4" t="s">
        <v>140</v>
      </c>
      <c r="C862" s="5">
        <f>IF(B862&lt;&gt;"",VLOOKUP(B862,Projetos!E:F,2,0),"")</f>
        <v>39</v>
      </c>
      <c r="D862" s="5"/>
      <c r="E862" s="4" t="s">
        <v>21</v>
      </c>
      <c r="F862" s="69" t="s">
        <v>391</v>
      </c>
      <c r="G862" s="5" t="s">
        <v>64</v>
      </c>
      <c r="H862" s="10">
        <v>45492</v>
      </c>
      <c r="I862" s="30">
        <v>4.1666666666666664E-2</v>
      </c>
      <c r="J862" s="5" t="s">
        <v>14</v>
      </c>
      <c r="K862" s="22"/>
    </row>
    <row r="863" spans="2:11">
      <c r="B863" s="4" t="s">
        <v>385</v>
      </c>
      <c r="C863" s="5">
        <f>IF(B863&lt;&gt;"",VLOOKUP(B863,Projetos!E:F,2,0),"")</f>
        <v>48</v>
      </c>
      <c r="D863" s="5"/>
      <c r="E863" s="4" t="s">
        <v>40</v>
      </c>
      <c r="F863" s="69" t="s">
        <v>396</v>
      </c>
      <c r="G863" s="5" t="s">
        <v>42</v>
      </c>
      <c r="H863" s="10">
        <v>45492</v>
      </c>
      <c r="I863" s="30">
        <v>0.33333333333333331</v>
      </c>
      <c r="J863" s="5" t="s">
        <v>14</v>
      </c>
      <c r="K863" s="22"/>
    </row>
    <row r="864" spans="2:11">
      <c r="B864" s="4" t="s">
        <v>140</v>
      </c>
      <c r="C864" s="5">
        <f>IF(B864&lt;&gt;"",VLOOKUP(B864,Projetos!E:F,2,0),"")</f>
        <v>39</v>
      </c>
      <c r="D864" s="5"/>
      <c r="E864" s="4" t="s">
        <v>247</v>
      </c>
      <c r="F864" s="69" t="s">
        <v>397</v>
      </c>
      <c r="G864" s="5" t="s">
        <v>66</v>
      </c>
      <c r="H864" s="10">
        <v>45495</v>
      </c>
      <c r="I864" s="21">
        <v>0.25</v>
      </c>
      <c r="J864" s="5" t="s">
        <v>14</v>
      </c>
      <c r="K864" s="22"/>
    </row>
    <row r="865" spans="2:11" ht="30">
      <c r="B865" s="4" t="s">
        <v>385</v>
      </c>
      <c r="C865" s="5">
        <f>IF(B865&lt;&gt;"",VLOOKUP(B865,Projetos!E:F,2,0),"")</f>
        <v>48</v>
      </c>
      <c r="D865" s="5"/>
      <c r="E865" s="4" t="s">
        <v>31</v>
      </c>
      <c r="F865" s="69" t="s">
        <v>398</v>
      </c>
      <c r="G865" s="5" t="s">
        <v>34</v>
      </c>
      <c r="H865" s="10">
        <v>45495</v>
      </c>
      <c r="I865" s="30">
        <v>4.1666666666666664E-2</v>
      </c>
      <c r="J865" s="5" t="s">
        <v>14</v>
      </c>
      <c r="K865" s="22"/>
    </row>
    <row r="866" spans="2:11" ht="30">
      <c r="B866" s="4" t="s">
        <v>192</v>
      </c>
      <c r="C866" s="5">
        <f>IF(B866&lt;&gt;"",VLOOKUP(B866,Projetos!E:F,2,0),"")</f>
        <v>32</v>
      </c>
      <c r="D866" s="5"/>
      <c r="E866" s="4" t="s">
        <v>193</v>
      </c>
      <c r="F866" s="69" t="s">
        <v>399</v>
      </c>
      <c r="G866" s="5" t="s">
        <v>34</v>
      </c>
      <c r="H866" s="10">
        <v>45495</v>
      </c>
      <c r="I866" s="30">
        <v>0.25</v>
      </c>
      <c r="J866" s="5" t="s">
        <v>14</v>
      </c>
      <c r="K866" s="22"/>
    </row>
    <row r="867" spans="2:11" ht="30">
      <c r="B867" s="4" t="s">
        <v>138</v>
      </c>
      <c r="C867" s="5">
        <f>IF(B867&lt;&gt;"",VLOOKUP(B867,Projetos!E:F,2,0),"")</f>
        <v>30</v>
      </c>
      <c r="D867" s="5"/>
      <c r="E867" s="4" t="s">
        <v>31</v>
      </c>
      <c r="F867" s="69" t="s">
        <v>400</v>
      </c>
      <c r="G867" s="5" t="s">
        <v>34</v>
      </c>
      <c r="H867" s="10">
        <v>45496</v>
      </c>
      <c r="I867" s="30">
        <v>8.3333333333333329E-2</v>
      </c>
      <c r="J867" s="5" t="s">
        <v>14</v>
      </c>
      <c r="K867" s="22"/>
    </row>
    <row r="868" spans="2:11">
      <c r="B868" s="4" t="s">
        <v>385</v>
      </c>
      <c r="C868" s="5">
        <f>IF(B868&lt;&gt;"",VLOOKUP(B868,Projetos!E:F,2,0),"")</f>
        <v>48</v>
      </c>
      <c r="D868" s="5"/>
      <c r="E868" s="4" t="s">
        <v>40</v>
      </c>
      <c r="F868" s="69" t="s">
        <v>401</v>
      </c>
      <c r="G868" s="5" t="s">
        <v>42</v>
      </c>
      <c r="H868" s="10">
        <v>45495</v>
      </c>
      <c r="I868" s="21">
        <v>0.25</v>
      </c>
      <c r="J868" s="5" t="s">
        <v>14</v>
      </c>
      <c r="K868" s="22"/>
    </row>
    <row r="869" spans="2:11">
      <c r="B869" s="4" t="s">
        <v>140</v>
      </c>
      <c r="C869" s="5">
        <f>IF(B869&lt;&gt;"",VLOOKUP(B869,Projetos!E:F,2,0),"")</f>
        <v>39</v>
      </c>
      <c r="D869" s="5"/>
      <c r="E869" s="4" t="s">
        <v>31</v>
      </c>
      <c r="F869" s="69" t="s">
        <v>402</v>
      </c>
      <c r="G869" s="5" t="s">
        <v>42</v>
      </c>
      <c r="H869" s="10">
        <v>45495</v>
      </c>
      <c r="I869" s="30">
        <v>0.16666666666666666</v>
      </c>
      <c r="J869" s="5" t="s">
        <v>14</v>
      </c>
      <c r="K869" s="22"/>
    </row>
    <row r="870" spans="2:11">
      <c r="B870" s="4" t="s">
        <v>140</v>
      </c>
      <c r="C870" s="5">
        <f>IF(B870&lt;&gt;"",VLOOKUP(B870,Projetos!E:F,2,0),"")</f>
        <v>39</v>
      </c>
      <c r="D870" s="5"/>
      <c r="E870" s="4" t="s">
        <v>247</v>
      </c>
      <c r="F870" s="69" t="s">
        <v>397</v>
      </c>
      <c r="G870" s="5" t="s">
        <v>66</v>
      </c>
      <c r="H870" s="10">
        <v>45496</v>
      </c>
      <c r="I870" s="21">
        <v>8.3333333333333329E-2</v>
      </c>
      <c r="J870" s="5" t="s">
        <v>14</v>
      </c>
      <c r="K870" s="22"/>
    </row>
    <row r="871" spans="2:11">
      <c r="B871" s="4" t="s">
        <v>128</v>
      </c>
      <c r="C871" s="5">
        <f>IF(B871&lt;&gt;"",VLOOKUP(B871,Projetos!E:F,2,0),"")</f>
        <v>23</v>
      </c>
      <c r="D871" s="5"/>
      <c r="E871" s="4" t="s">
        <v>31</v>
      </c>
      <c r="F871" s="110" t="s">
        <v>403</v>
      </c>
      <c r="G871" s="5" t="s">
        <v>28</v>
      </c>
      <c r="H871" s="10">
        <v>45496</v>
      </c>
      <c r="I871" s="21">
        <v>0.33333333333333331</v>
      </c>
      <c r="J871" s="5" t="s">
        <v>14</v>
      </c>
      <c r="K871" s="22"/>
    </row>
    <row r="872" spans="2:11" ht="30">
      <c r="B872" s="4" t="s">
        <v>192</v>
      </c>
      <c r="C872" s="5">
        <f>IF(B872&lt;&gt;"",VLOOKUP(B872,Projetos!E:F,2,0),"")</f>
        <v>32</v>
      </c>
      <c r="D872" s="5"/>
      <c r="E872" s="4" t="s">
        <v>193</v>
      </c>
      <c r="F872" s="69" t="s">
        <v>404</v>
      </c>
      <c r="G872" s="5" t="s">
        <v>66</v>
      </c>
      <c r="H872" s="10">
        <v>45496</v>
      </c>
      <c r="I872" s="21">
        <v>0.16666666666666666</v>
      </c>
      <c r="J872" s="5" t="s">
        <v>14</v>
      </c>
      <c r="K872" s="22"/>
    </row>
    <row r="873" spans="2:11" ht="30">
      <c r="B873" s="4" t="s">
        <v>192</v>
      </c>
      <c r="C873" s="5">
        <f>IF(B873&lt;&gt;"",VLOOKUP(B873,Projetos!E:F,2,0),"")</f>
        <v>32</v>
      </c>
      <c r="D873" s="5"/>
      <c r="E873" s="4" t="s">
        <v>193</v>
      </c>
      <c r="F873" s="69" t="s">
        <v>405</v>
      </c>
      <c r="G873" s="5" t="s">
        <v>34</v>
      </c>
      <c r="H873" s="10">
        <v>45496</v>
      </c>
      <c r="I873" s="30">
        <v>0.20833333333333334</v>
      </c>
      <c r="J873" s="5" t="s">
        <v>14</v>
      </c>
      <c r="K873" s="22"/>
    </row>
    <row r="874" spans="2:11">
      <c r="B874" s="4" t="s">
        <v>138</v>
      </c>
      <c r="C874" s="5">
        <f>IF(B874&lt;&gt;"",VLOOKUP(B874,Projetos!E:F,2,0),"")</f>
        <v>30</v>
      </c>
      <c r="D874" s="5"/>
      <c r="E874" s="4" t="s">
        <v>26</v>
      </c>
      <c r="F874" s="69" t="s">
        <v>406</v>
      </c>
      <c r="G874" s="5" t="s">
        <v>34</v>
      </c>
      <c r="H874" s="10">
        <v>45497</v>
      </c>
      <c r="I874" s="30">
        <v>0.125</v>
      </c>
      <c r="J874" s="5" t="s">
        <v>14</v>
      </c>
      <c r="K874" s="22"/>
    </row>
    <row r="875" spans="2:11">
      <c r="B875" s="4" t="s">
        <v>140</v>
      </c>
      <c r="C875" s="5">
        <f>IF(B875&lt;&gt;"",VLOOKUP(B875,Projetos!E:F,2,0),"")</f>
        <v>39</v>
      </c>
      <c r="D875" s="5"/>
      <c r="E875" s="4" t="s">
        <v>49</v>
      </c>
      <c r="F875" s="69" t="s">
        <v>407</v>
      </c>
      <c r="G875" s="5" t="s">
        <v>66</v>
      </c>
      <c r="H875" s="10">
        <v>45497</v>
      </c>
      <c r="I875" s="21">
        <v>0.1875</v>
      </c>
      <c r="J875" s="5" t="s">
        <v>14</v>
      </c>
      <c r="K875" s="22"/>
    </row>
    <row r="876" spans="2:11">
      <c r="B876" s="4" t="s">
        <v>192</v>
      </c>
      <c r="C876" s="5">
        <f>IF(B876&lt;&gt;"",VLOOKUP(B876,Projetos!E:F,2,0),"")</f>
        <v>32</v>
      </c>
      <c r="D876" s="5"/>
      <c r="E876" s="4" t="s">
        <v>193</v>
      </c>
      <c r="F876" s="69" t="s">
        <v>408</v>
      </c>
      <c r="G876" s="5" t="s">
        <v>66</v>
      </c>
      <c r="H876" s="10">
        <v>45497</v>
      </c>
      <c r="I876" s="21">
        <v>2.0833333333333332E-2</v>
      </c>
      <c r="J876" s="5" t="s">
        <v>14</v>
      </c>
      <c r="K876" s="22"/>
    </row>
    <row r="877" spans="2:11">
      <c r="B877" s="4" t="s">
        <v>128</v>
      </c>
      <c r="C877" s="5">
        <f>IF(B877&lt;&gt;"",VLOOKUP(B877,Projetos!E:F,2,0),"")</f>
        <v>23</v>
      </c>
      <c r="D877" s="5"/>
      <c r="E877" s="4" t="s">
        <v>31</v>
      </c>
      <c r="F877" s="110" t="s">
        <v>409</v>
      </c>
      <c r="G877" s="5" t="s">
        <v>28</v>
      </c>
      <c r="H877" s="10">
        <v>45497</v>
      </c>
      <c r="I877" s="21">
        <v>0.33333333333333331</v>
      </c>
      <c r="J877" s="5" t="s">
        <v>14</v>
      </c>
      <c r="K877" s="22"/>
    </row>
    <row r="878" spans="2:11">
      <c r="B878" s="4" t="s">
        <v>231</v>
      </c>
      <c r="C878" s="5">
        <f>IF(B878&lt;&gt;"",VLOOKUP(B878,Projetos!E:F,2,0),"")</f>
        <v>35</v>
      </c>
      <c r="D878" s="5"/>
      <c r="E878" s="4" t="s">
        <v>49</v>
      </c>
      <c r="F878" s="69" t="s">
        <v>410</v>
      </c>
      <c r="G878" s="5" t="s">
        <v>64</v>
      </c>
      <c r="H878" s="10">
        <v>45495</v>
      </c>
      <c r="I878" s="30">
        <v>2.0833333333333332E-2</v>
      </c>
      <c r="J878" s="5" t="s">
        <v>14</v>
      </c>
      <c r="K878" s="22"/>
    </row>
    <row r="879" spans="2:11">
      <c r="B879" s="4" t="s">
        <v>136</v>
      </c>
      <c r="C879" s="5">
        <f>IF(B879&lt;&gt;"",VLOOKUP(B879,Projetos!E:F,2,0),"")</f>
        <v>25</v>
      </c>
      <c r="D879" s="5"/>
      <c r="E879" s="4" t="s">
        <v>119</v>
      </c>
      <c r="F879" s="69" t="s">
        <v>411</v>
      </c>
      <c r="G879" s="5" t="s">
        <v>64</v>
      </c>
      <c r="H879" s="10">
        <v>45495</v>
      </c>
      <c r="I879" s="30">
        <v>6.9444444444444441E-3</v>
      </c>
      <c r="J879" s="5" t="s">
        <v>14</v>
      </c>
      <c r="K879" s="22"/>
    </row>
    <row r="880" spans="2:11">
      <c r="B880" s="4" t="s">
        <v>128</v>
      </c>
      <c r="C880" s="5">
        <f>IF(B880&lt;&gt;"",VLOOKUP(B880,Projetos!E:F,2,0),"")</f>
        <v>23</v>
      </c>
      <c r="D880" s="5"/>
      <c r="E880" s="4" t="s">
        <v>31</v>
      </c>
      <c r="F880" s="110" t="s">
        <v>409</v>
      </c>
      <c r="G880" s="5" t="s">
        <v>28</v>
      </c>
      <c r="H880" s="10">
        <v>45498</v>
      </c>
      <c r="I880" s="21">
        <v>0.33333333333333331</v>
      </c>
      <c r="J880" s="5" t="s">
        <v>14</v>
      </c>
      <c r="K880" s="22"/>
    </row>
    <row r="881" spans="2:11">
      <c r="B881" s="4" t="s">
        <v>140</v>
      </c>
      <c r="C881" s="5">
        <f>IF(B881&lt;&gt;"",VLOOKUP(B881,Projetos!E:F,2,0),"")</f>
        <v>39</v>
      </c>
      <c r="D881" s="5"/>
      <c r="E881" s="4" t="s">
        <v>247</v>
      </c>
      <c r="F881" s="69" t="s">
        <v>412</v>
      </c>
      <c r="G881" s="5" t="s">
        <v>64</v>
      </c>
      <c r="H881" s="10">
        <v>45495</v>
      </c>
      <c r="I881" s="30">
        <v>8.3333333333333329E-2</v>
      </c>
      <c r="J881" s="5" t="s">
        <v>14</v>
      </c>
      <c r="K881" s="22"/>
    </row>
    <row r="882" spans="2:11">
      <c r="B882" s="4" t="s">
        <v>192</v>
      </c>
      <c r="C882" s="5">
        <f>IF(B882&lt;&gt;"",VLOOKUP(B882,Projetos!E:F,2,0),"")</f>
        <v>32</v>
      </c>
      <c r="D882" s="5"/>
      <c r="E882" s="4" t="s">
        <v>193</v>
      </c>
      <c r="F882" s="69" t="s">
        <v>413</v>
      </c>
      <c r="G882" s="5" t="s">
        <v>64</v>
      </c>
      <c r="H882" s="10">
        <v>45495</v>
      </c>
      <c r="I882" s="30">
        <v>4.1666666666666664E-2</v>
      </c>
      <c r="J882" s="5" t="s">
        <v>14</v>
      </c>
      <c r="K882" s="22"/>
    </row>
    <row r="883" spans="2:11">
      <c r="B883" s="4" t="s">
        <v>138</v>
      </c>
      <c r="C883" s="5">
        <f>IF(B883&lt;&gt;"",VLOOKUP(B883,Projetos!E:F,2,0),"")</f>
        <v>30</v>
      </c>
      <c r="D883" s="5"/>
      <c r="E883" s="4" t="s">
        <v>21</v>
      </c>
      <c r="F883" s="69" t="s">
        <v>414</v>
      </c>
      <c r="G883" s="5" t="s">
        <v>64</v>
      </c>
      <c r="H883" s="10">
        <v>45496</v>
      </c>
      <c r="I883" s="30">
        <v>0.16666666666666666</v>
      </c>
      <c r="J883" s="5" t="s">
        <v>14</v>
      </c>
      <c r="K883" s="22"/>
    </row>
    <row r="884" spans="2:11" ht="30">
      <c r="B884" s="4" t="s">
        <v>138</v>
      </c>
      <c r="C884" s="5">
        <f>IF(B884&lt;&gt;"",VLOOKUP(B884,Projetos!E:F,2,0),"")</f>
        <v>30</v>
      </c>
      <c r="D884" s="5"/>
      <c r="E884" s="4" t="s">
        <v>31</v>
      </c>
      <c r="F884" s="69" t="s">
        <v>415</v>
      </c>
      <c r="G884" s="5" t="s">
        <v>34</v>
      </c>
      <c r="H884" s="10">
        <v>45497</v>
      </c>
      <c r="I884" s="30">
        <v>8.3333333333333329E-2</v>
      </c>
      <c r="J884" s="5" t="s">
        <v>14</v>
      </c>
      <c r="K884" s="22"/>
    </row>
    <row r="885" spans="2:11">
      <c r="B885" s="4" t="s">
        <v>192</v>
      </c>
      <c r="C885" s="5">
        <f>IF(B885&lt;&gt;"",VLOOKUP(B885,Projetos!E:F,2,0),"")</f>
        <v>32</v>
      </c>
      <c r="D885" s="5"/>
      <c r="E885" s="4" t="s">
        <v>193</v>
      </c>
      <c r="F885" s="69" t="s">
        <v>416</v>
      </c>
      <c r="G885" s="5" t="s">
        <v>66</v>
      </c>
      <c r="H885" s="10">
        <v>45497</v>
      </c>
      <c r="I885" s="21">
        <v>4.1666666666666664E-2</v>
      </c>
      <c r="J885" s="5" t="s">
        <v>14</v>
      </c>
      <c r="K885" s="22"/>
    </row>
    <row r="886" spans="2:11">
      <c r="B886" s="4" t="s">
        <v>140</v>
      </c>
      <c r="C886" s="5">
        <f>IF(B886&lt;&gt;"",VLOOKUP(B886,Projetos!E:F,2,0),"")</f>
        <v>39</v>
      </c>
      <c r="D886" s="5"/>
      <c r="E886" s="4" t="s">
        <v>40</v>
      </c>
      <c r="F886" s="69" t="s">
        <v>417</v>
      </c>
      <c r="G886" s="5" t="s">
        <v>42</v>
      </c>
      <c r="H886" s="10">
        <v>45496</v>
      </c>
      <c r="I886" s="30">
        <v>0.25</v>
      </c>
      <c r="J886" s="5" t="s">
        <v>14</v>
      </c>
      <c r="K886" s="22"/>
    </row>
    <row r="887" spans="2:11">
      <c r="B887" s="4" t="s">
        <v>140</v>
      </c>
      <c r="C887" s="5">
        <f>IF(B887&lt;&gt;"",VLOOKUP(B887,Projetos!E:F,2,0),"")</f>
        <v>39</v>
      </c>
      <c r="D887" s="5"/>
      <c r="E887" s="4" t="s">
        <v>40</v>
      </c>
      <c r="F887" s="69" t="s">
        <v>418</v>
      </c>
      <c r="G887" s="5" t="s">
        <v>42</v>
      </c>
      <c r="H887" s="10">
        <v>45497</v>
      </c>
      <c r="I887" s="30">
        <v>0.16666666666666666</v>
      </c>
      <c r="J887" s="5" t="s">
        <v>14</v>
      </c>
      <c r="K887" s="22"/>
    </row>
    <row r="888" spans="2:11">
      <c r="B888" s="4" t="s">
        <v>385</v>
      </c>
      <c r="C888" s="5">
        <f>IF(B888&lt;&gt;"",VLOOKUP(B888,Projetos!E:F,2,0),"")</f>
        <v>48</v>
      </c>
      <c r="D888" s="5"/>
      <c r="E888" s="4" t="s">
        <v>40</v>
      </c>
      <c r="F888" s="69" t="s">
        <v>419</v>
      </c>
      <c r="G888" s="5" t="s">
        <v>42</v>
      </c>
      <c r="H888" s="10">
        <v>45497</v>
      </c>
      <c r="I888" s="30">
        <v>0.16666666666666666</v>
      </c>
      <c r="J888" s="5" t="s">
        <v>14</v>
      </c>
      <c r="K888" s="22"/>
    </row>
    <row r="889" spans="2:11">
      <c r="B889" s="4" t="s">
        <v>385</v>
      </c>
      <c r="C889" s="5">
        <f>IF(B889&lt;&gt;"",VLOOKUP(B889,Projetos!E:F,2,0),"")</f>
        <v>48</v>
      </c>
      <c r="D889" s="5"/>
      <c r="E889" s="4" t="s">
        <v>40</v>
      </c>
      <c r="F889" s="69" t="s">
        <v>419</v>
      </c>
      <c r="G889" s="5" t="s">
        <v>42</v>
      </c>
      <c r="H889" s="10">
        <v>45498</v>
      </c>
      <c r="I889" s="30">
        <v>0.16666666666666666</v>
      </c>
      <c r="J889" s="5" t="s">
        <v>14</v>
      </c>
      <c r="K889" s="22"/>
    </row>
    <row r="890" spans="2:11">
      <c r="B890" s="4" t="s">
        <v>192</v>
      </c>
      <c r="C890" s="5">
        <f>IF(B890&lt;&gt;"",VLOOKUP(B890,Projetos!E:F,2,0),"")</f>
        <v>32</v>
      </c>
      <c r="D890" s="5"/>
      <c r="E890" s="4" t="s">
        <v>193</v>
      </c>
      <c r="F890" s="69" t="s">
        <v>420</v>
      </c>
      <c r="G890" s="5" t="s">
        <v>66</v>
      </c>
      <c r="H890" s="10">
        <v>45498</v>
      </c>
      <c r="I890" s="21">
        <v>4.1666666666666664E-2</v>
      </c>
      <c r="J890" s="5" t="s">
        <v>14</v>
      </c>
      <c r="K890" s="22"/>
    </row>
    <row r="891" spans="2:11">
      <c r="B891" s="4" t="s">
        <v>125</v>
      </c>
      <c r="C891" s="5">
        <f>IF(B891&lt;&gt;"",VLOOKUP(B891,Projetos!E:F,2,0),"")</f>
        <v>16</v>
      </c>
      <c r="D891" s="5"/>
      <c r="E891" s="4" t="s">
        <v>49</v>
      </c>
      <c r="F891" s="69" t="s">
        <v>421</v>
      </c>
      <c r="G891" s="5" t="s">
        <v>66</v>
      </c>
      <c r="H891" s="10">
        <v>45498</v>
      </c>
      <c r="I891" s="21">
        <v>0.20833333333333334</v>
      </c>
      <c r="J891" s="5" t="s">
        <v>14</v>
      </c>
      <c r="K891" s="22"/>
    </row>
    <row r="892" spans="2:11" ht="30">
      <c r="B892" s="4" t="s">
        <v>33</v>
      </c>
      <c r="C892" s="5">
        <f>IF(B892&lt;&gt;"",VLOOKUP(B892,Projetos!E:F,2,0),"")</f>
        <v>18</v>
      </c>
      <c r="D892" s="5"/>
      <c r="E892" s="4" t="s">
        <v>26</v>
      </c>
      <c r="F892" s="69" t="s">
        <v>422</v>
      </c>
      <c r="G892" s="5" t="s">
        <v>34</v>
      </c>
      <c r="H892" s="10">
        <v>45498</v>
      </c>
      <c r="I892" s="30">
        <v>0.20833333333333334</v>
      </c>
      <c r="J892" s="5" t="s">
        <v>14</v>
      </c>
      <c r="K892" s="22"/>
    </row>
    <row r="893" spans="2:11">
      <c r="B893" s="4" t="s">
        <v>140</v>
      </c>
      <c r="C893" s="5">
        <f>IF(B893&lt;&gt;"",VLOOKUP(B893,Projetos!E:F,2,0),"")</f>
        <v>39</v>
      </c>
      <c r="D893" s="5"/>
      <c r="E893" s="4" t="s">
        <v>23</v>
      </c>
      <c r="F893" s="69" t="s">
        <v>423</v>
      </c>
      <c r="G893" s="5" t="s">
        <v>64</v>
      </c>
      <c r="H893" s="10">
        <v>45497</v>
      </c>
      <c r="I893" s="30">
        <v>0.16666666666666666</v>
      </c>
      <c r="J893" s="5" t="s">
        <v>14</v>
      </c>
      <c r="K893" s="22"/>
    </row>
    <row r="894" spans="2:11">
      <c r="B894" s="4" t="s">
        <v>192</v>
      </c>
      <c r="C894" s="5">
        <f>IF(B894&lt;&gt;"",VLOOKUP(B894,Projetos!E:F,2,0),"")</f>
        <v>32</v>
      </c>
      <c r="D894" s="5"/>
      <c r="E894" s="4" t="s">
        <v>193</v>
      </c>
      <c r="F894" s="69" t="s">
        <v>424</v>
      </c>
      <c r="G894" s="5" t="s">
        <v>64</v>
      </c>
      <c r="H894" s="10">
        <v>45497</v>
      </c>
      <c r="I894" s="30">
        <v>4.1666666666666664E-2</v>
      </c>
      <c r="J894" s="5" t="s">
        <v>14</v>
      </c>
      <c r="K894" s="22"/>
    </row>
    <row r="895" spans="2:11">
      <c r="B895" s="4" t="s">
        <v>138</v>
      </c>
      <c r="C895" s="5">
        <f>IF(B895&lt;&gt;"",VLOOKUP(B895,Projetos!E:F,2,0),"")</f>
        <v>30</v>
      </c>
      <c r="D895" s="5"/>
      <c r="E895" s="4" t="s">
        <v>26</v>
      </c>
      <c r="F895" s="69" t="s">
        <v>406</v>
      </c>
      <c r="G895" s="5" t="s">
        <v>64</v>
      </c>
      <c r="H895" s="10">
        <v>45497</v>
      </c>
      <c r="I895" s="30">
        <v>4.1666666666666664E-2</v>
      </c>
      <c r="J895" s="5" t="s">
        <v>14</v>
      </c>
      <c r="K895" s="22"/>
    </row>
    <row r="896" spans="2:11">
      <c r="B896" s="4" t="s">
        <v>125</v>
      </c>
      <c r="C896" s="5">
        <f>IF(B896&lt;&gt;"",VLOOKUP(B896,Projetos!E:F,2,0),"")</f>
        <v>16</v>
      </c>
      <c r="D896" s="5"/>
      <c r="E896" s="4" t="s">
        <v>49</v>
      </c>
      <c r="F896" s="69" t="s">
        <v>425</v>
      </c>
      <c r="G896" s="5" t="s">
        <v>64</v>
      </c>
      <c r="H896" s="10">
        <v>45498</v>
      </c>
      <c r="I896" s="30">
        <v>8.3333333333333329E-2</v>
      </c>
      <c r="J896" s="5" t="s">
        <v>14</v>
      </c>
      <c r="K896" s="22"/>
    </row>
    <row r="897" spans="2:11">
      <c r="B897" s="4" t="s">
        <v>205</v>
      </c>
      <c r="C897" s="5">
        <f>IF(B897&lt;&gt;"",VLOOKUP(B897,Projetos!E:F,2,0),"")</f>
        <v>34</v>
      </c>
      <c r="D897" s="5"/>
      <c r="E897" s="4" t="s">
        <v>49</v>
      </c>
      <c r="F897" s="69" t="s">
        <v>426</v>
      </c>
      <c r="G897" s="5" t="s">
        <v>64</v>
      </c>
      <c r="H897" s="10">
        <v>45498</v>
      </c>
      <c r="I897" s="30">
        <v>8.3333333333333329E-2</v>
      </c>
      <c r="J897" s="5" t="s">
        <v>14</v>
      </c>
      <c r="K897" s="22"/>
    </row>
    <row r="898" spans="2:11">
      <c r="B898" s="4" t="s">
        <v>231</v>
      </c>
      <c r="C898" s="5">
        <f>IF(B898&lt;&gt;"",VLOOKUP(B898,Projetos!E:F,2,0),"")</f>
        <v>35</v>
      </c>
      <c r="D898" s="5"/>
      <c r="E898" s="4" t="s">
        <v>49</v>
      </c>
      <c r="F898" s="69" t="s">
        <v>427</v>
      </c>
      <c r="G898" s="5" t="s">
        <v>64</v>
      </c>
      <c r="H898" s="10">
        <v>45499</v>
      </c>
      <c r="I898" s="30">
        <v>8.3333333333333329E-2</v>
      </c>
      <c r="J898" s="5" t="s">
        <v>14</v>
      </c>
      <c r="K898" s="22"/>
    </row>
    <row r="899" spans="2:11">
      <c r="B899" s="4" t="s">
        <v>136</v>
      </c>
      <c r="C899" s="5">
        <f>IF(B899&lt;&gt;"",VLOOKUP(B899,Projetos!E:F,2,0),"")</f>
        <v>25</v>
      </c>
      <c r="D899" s="5"/>
      <c r="E899" s="4" t="s">
        <v>49</v>
      </c>
      <c r="F899" s="69" t="s">
        <v>428</v>
      </c>
      <c r="G899" s="5" t="s">
        <v>64</v>
      </c>
      <c r="H899" s="10">
        <v>45499</v>
      </c>
      <c r="I899" s="30">
        <v>8.3333333333333329E-2</v>
      </c>
      <c r="J899" s="5" t="s">
        <v>14</v>
      </c>
      <c r="K899" s="22"/>
    </row>
    <row r="900" spans="2:11">
      <c r="B900" s="4" t="s">
        <v>192</v>
      </c>
      <c r="C900" s="5">
        <f>IF(B900&lt;&gt;"",VLOOKUP(B900,Projetos!E:F,2,0),"")</f>
        <v>32</v>
      </c>
      <c r="D900" s="5"/>
      <c r="E900" s="4" t="s">
        <v>193</v>
      </c>
      <c r="F900" s="69" t="s">
        <v>429</v>
      </c>
      <c r="G900" s="5" t="s">
        <v>64</v>
      </c>
      <c r="H900" s="10">
        <v>45499</v>
      </c>
      <c r="I900" s="30">
        <v>4.1666666666666664E-2</v>
      </c>
      <c r="J900" s="5" t="s">
        <v>14</v>
      </c>
      <c r="K900" s="22"/>
    </row>
    <row r="901" spans="2:11">
      <c r="B901" s="4" t="s">
        <v>128</v>
      </c>
      <c r="C901" s="5">
        <f>IF(B901&lt;&gt;"",VLOOKUP(B901,Projetos!E:F,2,0),"")</f>
        <v>23</v>
      </c>
      <c r="D901" s="5"/>
      <c r="E901" s="4" t="s">
        <v>31</v>
      </c>
      <c r="F901" s="69" t="s">
        <v>409</v>
      </c>
      <c r="G901" s="5" t="s">
        <v>28</v>
      </c>
      <c r="H901" s="10">
        <v>45499</v>
      </c>
      <c r="I901" s="30">
        <v>0.29166666666666669</v>
      </c>
      <c r="J901" s="5" t="s">
        <v>14</v>
      </c>
      <c r="K901" s="22"/>
    </row>
    <row r="902" spans="2:11" ht="45">
      <c r="B902" s="4" t="s">
        <v>33</v>
      </c>
      <c r="C902" s="5">
        <f>IF(B902&lt;&gt;"",VLOOKUP(B902,Projetos!E:F,2,0),"")</f>
        <v>18</v>
      </c>
      <c r="D902" s="5"/>
      <c r="E902" s="4" t="s">
        <v>26</v>
      </c>
      <c r="F902" s="69" t="s">
        <v>430</v>
      </c>
      <c r="G902" s="5" t="s">
        <v>34</v>
      </c>
      <c r="H902" s="10">
        <v>45499</v>
      </c>
      <c r="I902" s="30">
        <v>0.29166666666666669</v>
      </c>
      <c r="J902" s="5" t="s">
        <v>14</v>
      </c>
      <c r="K902" s="22"/>
    </row>
    <row r="903" spans="2:11" ht="30">
      <c r="B903" s="4" t="s">
        <v>385</v>
      </c>
      <c r="C903" s="5">
        <f>IF(B903&lt;&gt;"",VLOOKUP(B903,Projetos!E:F,2,0),"")</f>
        <v>48</v>
      </c>
      <c r="D903" s="5"/>
      <c r="E903" s="4" t="s">
        <v>40</v>
      </c>
      <c r="F903" s="69" t="s">
        <v>431</v>
      </c>
      <c r="G903" s="5" t="s">
        <v>42</v>
      </c>
      <c r="H903" s="10">
        <v>45499</v>
      </c>
      <c r="I903" s="30">
        <v>0.25</v>
      </c>
      <c r="J903" s="5" t="s">
        <v>14</v>
      </c>
      <c r="K903" s="22"/>
    </row>
    <row r="904" spans="2:11">
      <c r="B904" s="4" t="s">
        <v>128</v>
      </c>
      <c r="C904" s="5">
        <f>IF(B904&lt;&gt;"",VLOOKUP(B904,Projetos!E:F,2,0),"")</f>
        <v>23</v>
      </c>
      <c r="D904" s="5"/>
      <c r="E904" s="4" t="s">
        <v>40</v>
      </c>
      <c r="F904" s="69" t="s">
        <v>432</v>
      </c>
      <c r="G904" s="5" t="s">
        <v>42</v>
      </c>
      <c r="H904" s="10">
        <v>45499</v>
      </c>
      <c r="I904" s="30">
        <v>8.3333333333333329E-2</v>
      </c>
      <c r="J904" s="5" t="s">
        <v>14</v>
      </c>
      <c r="K904" s="22"/>
    </row>
    <row r="905" spans="2:11">
      <c r="B905" s="4" t="s">
        <v>33</v>
      </c>
      <c r="C905" s="5">
        <f>IF(B905&lt;&gt;"",VLOOKUP(B905,Projetos!E:F,2,0),"")</f>
        <v>18</v>
      </c>
      <c r="D905" s="5"/>
      <c r="E905" s="4" t="s">
        <v>31</v>
      </c>
      <c r="F905" s="110" t="s">
        <v>433</v>
      </c>
      <c r="G905" s="5" t="s">
        <v>28</v>
      </c>
      <c r="H905" s="10">
        <v>45502</v>
      </c>
      <c r="I905" s="30">
        <v>0.33333333333333331</v>
      </c>
      <c r="J905" s="5" t="s">
        <v>14</v>
      </c>
      <c r="K905" s="22"/>
    </row>
    <row r="906" spans="2:11" ht="30">
      <c r="B906" s="4" t="s">
        <v>385</v>
      </c>
      <c r="C906" s="5">
        <f>IF(B906&lt;&gt;"",VLOOKUP(B906,Projetos!E:F,2,0),"")</f>
        <v>48</v>
      </c>
      <c r="D906" s="5"/>
      <c r="E906" s="4" t="s">
        <v>40</v>
      </c>
      <c r="F906" s="69" t="s">
        <v>431</v>
      </c>
      <c r="G906" s="5" t="s">
        <v>42</v>
      </c>
      <c r="H906" s="10">
        <v>45502</v>
      </c>
      <c r="I906" s="30">
        <v>0.33333333333333331</v>
      </c>
      <c r="J906" s="5" t="s">
        <v>14</v>
      </c>
      <c r="K906" s="22"/>
    </row>
    <row r="907" spans="2:11">
      <c r="B907" s="4" t="s">
        <v>385</v>
      </c>
      <c r="C907" s="5">
        <f>IF(B907&lt;&gt;"",VLOOKUP(B907,Projetos!E:F,2,0),"")</f>
        <v>48</v>
      </c>
      <c r="D907" s="5"/>
      <c r="E907" s="4" t="s">
        <v>16</v>
      </c>
      <c r="F907" s="69" t="s">
        <v>434</v>
      </c>
      <c r="G907" s="5" t="s">
        <v>64</v>
      </c>
      <c r="H907" s="10">
        <v>45502</v>
      </c>
      <c r="I907" s="30">
        <v>8.3333333333333329E-2</v>
      </c>
      <c r="J907" s="5" t="s">
        <v>14</v>
      </c>
      <c r="K907" s="22"/>
    </row>
    <row r="908" spans="2:11">
      <c r="B908" s="4" t="s">
        <v>156</v>
      </c>
      <c r="C908" s="5">
        <f>IF(B908&lt;&gt;"",VLOOKUP(B908,Projetos!E:F,2,0),"")</f>
        <v>3</v>
      </c>
      <c r="D908" s="5"/>
      <c r="E908" s="4" t="s">
        <v>49</v>
      </c>
      <c r="F908" s="69" t="s">
        <v>435</v>
      </c>
      <c r="G908" s="5" t="s">
        <v>13</v>
      </c>
      <c r="H908" s="10">
        <v>45502</v>
      </c>
      <c r="I908" s="30">
        <v>0.22916666666666666</v>
      </c>
      <c r="J908" s="5" t="s">
        <v>14</v>
      </c>
      <c r="K908" s="22"/>
    </row>
    <row r="909" spans="2:11">
      <c r="B909" s="4" t="s">
        <v>192</v>
      </c>
      <c r="C909" s="5">
        <f>IF(B909&lt;&gt;"",VLOOKUP(B909,Projetos!E:F,2,0),"")</f>
        <v>32</v>
      </c>
      <c r="D909" s="5"/>
      <c r="E909" s="4" t="s">
        <v>193</v>
      </c>
      <c r="F909" s="69" t="s">
        <v>436</v>
      </c>
      <c r="G909" s="5" t="s">
        <v>64</v>
      </c>
      <c r="H909" s="10">
        <v>45502</v>
      </c>
      <c r="I909" s="30">
        <v>8.3333333333333329E-2</v>
      </c>
      <c r="J909" s="5" t="s">
        <v>14</v>
      </c>
      <c r="K909" s="22"/>
    </row>
    <row r="910" spans="2:11">
      <c r="B910" s="4" t="s">
        <v>192</v>
      </c>
      <c r="C910" s="5">
        <f>IF(B910&lt;&gt;"",VLOOKUP(B910,Projetos!E:F,2,0),"")</f>
        <v>32</v>
      </c>
      <c r="D910" s="5"/>
      <c r="E910" s="4" t="s">
        <v>193</v>
      </c>
      <c r="F910" s="69" t="s">
        <v>436</v>
      </c>
      <c r="G910" s="5" t="s">
        <v>66</v>
      </c>
      <c r="H910" s="10">
        <v>45502</v>
      </c>
      <c r="I910" s="30">
        <v>0.20833333333333334</v>
      </c>
      <c r="J910" s="5" t="s">
        <v>14</v>
      </c>
      <c r="K910" s="22"/>
    </row>
    <row r="911" spans="2:11">
      <c r="B911" s="4" t="s">
        <v>385</v>
      </c>
      <c r="C911" s="5">
        <f>IF(B911&lt;&gt;"",VLOOKUP(B911,Projetos!E:F,2,0),"")</f>
        <v>48</v>
      </c>
      <c r="D911" s="5"/>
      <c r="E911" s="4" t="s">
        <v>16</v>
      </c>
      <c r="F911" s="69" t="s">
        <v>437</v>
      </c>
      <c r="G911" s="5" t="s">
        <v>66</v>
      </c>
      <c r="H911" s="10">
        <v>45502</v>
      </c>
      <c r="I911" s="21">
        <v>4.1666666666666664E-2</v>
      </c>
      <c r="J911" s="5" t="s">
        <v>14</v>
      </c>
      <c r="K911" s="22"/>
    </row>
    <row r="912" spans="2:11">
      <c r="B912" s="4" t="s">
        <v>33</v>
      </c>
      <c r="C912" s="5">
        <f>IF(B912&lt;&gt;"",VLOOKUP(B912,Projetos!E:F,2,0),"")</f>
        <v>18</v>
      </c>
      <c r="D912" s="5"/>
      <c r="E912" s="4" t="s">
        <v>31</v>
      </c>
      <c r="F912" s="69" t="s">
        <v>438</v>
      </c>
      <c r="G912" s="5" t="s">
        <v>34</v>
      </c>
      <c r="H912" s="10">
        <v>45502</v>
      </c>
      <c r="I912" s="30">
        <v>0.25</v>
      </c>
      <c r="J912" s="5" t="s">
        <v>14</v>
      </c>
      <c r="K912" s="22"/>
    </row>
    <row r="913" spans="2:11">
      <c r="B913" s="4" t="s">
        <v>140</v>
      </c>
      <c r="C913" s="5">
        <f>IF(B913&lt;&gt;"",VLOOKUP(B913,Projetos!E:F,2,0),"")</f>
        <v>39</v>
      </c>
      <c r="D913" s="5"/>
      <c r="E913" s="4" t="s">
        <v>11</v>
      </c>
      <c r="F913" s="69" t="s">
        <v>439</v>
      </c>
      <c r="G913" s="5" t="s">
        <v>64</v>
      </c>
      <c r="H913" s="10">
        <v>45502</v>
      </c>
      <c r="I913" s="30">
        <v>2.0833333333333332E-2</v>
      </c>
      <c r="J913" s="5" t="s">
        <v>14</v>
      </c>
      <c r="K913" s="22"/>
    </row>
    <row r="914" spans="2:11">
      <c r="B914" s="4" t="s">
        <v>33</v>
      </c>
      <c r="C914" s="5">
        <v>18</v>
      </c>
      <c r="D914" s="5"/>
      <c r="E914" s="4" t="s">
        <v>16</v>
      </c>
      <c r="F914" s="69" t="s">
        <v>339</v>
      </c>
      <c r="G914" s="5" t="s">
        <v>64</v>
      </c>
      <c r="H914" s="10">
        <v>45502</v>
      </c>
      <c r="I914" s="30">
        <v>4.1666666666666664E-2</v>
      </c>
      <c r="J914" s="5" t="s">
        <v>14</v>
      </c>
      <c r="K914" s="22"/>
    </row>
    <row r="915" spans="2:11">
      <c r="B915" s="4" t="s">
        <v>385</v>
      </c>
      <c r="C915" s="5">
        <f>IF(B915&lt;&gt;"",VLOOKUP(B915,Projetos!E:F,2,0),"")</f>
        <v>48</v>
      </c>
      <c r="D915" s="5"/>
      <c r="E915" s="4" t="s">
        <v>31</v>
      </c>
      <c r="F915" s="69" t="s">
        <v>440</v>
      </c>
      <c r="G915" s="5" t="s">
        <v>34</v>
      </c>
      <c r="H915" s="10">
        <v>45502</v>
      </c>
      <c r="I915" s="30">
        <v>4.1666666666666664E-2</v>
      </c>
      <c r="J915" s="5" t="s">
        <v>14</v>
      </c>
      <c r="K915" s="22"/>
    </row>
    <row r="916" spans="2:11">
      <c r="B916" s="4" t="s">
        <v>192</v>
      </c>
      <c r="C916" s="5">
        <f>IF(B916&lt;&gt;"",VLOOKUP(B916,Projetos!E:F,2,0),"")</f>
        <v>32</v>
      </c>
      <c r="D916" s="5"/>
      <c r="E916" s="4" t="s">
        <v>193</v>
      </c>
      <c r="F916" s="69" t="s">
        <v>436</v>
      </c>
      <c r="G916" s="5" t="s">
        <v>64</v>
      </c>
      <c r="H916" s="10">
        <v>45502</v>
      </c>
      <c r="I916" s="30">
        <v>4.1666666666666664E-2</v>
      </c>
      <c r="J916" s="5" t="s">
        <v>14</v>
      </c>
      <c r="K916" s="22"/>
    </row>
    <row r="917" spans="2:11">
      <c r="B917" s="4" t="s">
        <v>192</v>
      </c>
      <c r="C917" s="5">
        <f>IF(B917&lt;&gt;"",VLOOKUP(B917,Projetos!E:F,2,0),"")</f>
        <v>32</v>
      </c>
      <c r="D917" s="5"/>
      <c r="E917" s="4" t="s">
        <v>193</v>
      </c>
      <c r="F917" s="69" t="s">
        <v>441</v>
      </c>
      <c r="G917" s="5" t="s">
        <v>64</v>
      </c>
      <c r="H917" s="10">
        <v>45502</v>
      </c>
      <c r="I917" s="30">
        <v>0.125</v>
      </c>
      <c r="J917" s="5" t="s">
        <v>14</v>
      </c>
      <c r="K917" s="22"/>
    </row>
    <row r="918" spans="2:11" ht="30">
      <c r="B918" s="4" t="s">
        <v>136</v>
      </c>
      <c r="C918" s="5">
        <f>IF(B918&lt;&gt;"",VLOOKUP(B918,Projetos!E:F,2,0),"")</f>
        <v>25</v>
      </c>
      <c r="D918" s="5"/>
      <c r="E918" s="4" t="s">
        <v>49</v>
      </c>
      <c r="F918" s="69" t="s">
        <v>442</v>
      </c>
      <c r="G918" s="5" t="s">
        <v>64</v>
      </c>
      <c r="H918" s="10">
        <v>45503</v>
      </c>
      <c r="I918" s="30">
        <v>0.20833333333333334</v>
      </c>
      <c r="J918" s="5" t="s">
        <v>14</v>
      </c>
      <c r="K918" s="22"/>
    </row>
    <row r="919" spans="2:11">
      <c r="B919" s="4" t="s">
        <v>192</v>
      </c>
      <c r="C919" s="5">
        <f>IF(B919&lt;&gt;"",VLOOKUP(B919,Projetos!E:F,2,0),"")</f>
        <v>32</v>
      </c>
      <c r="D919" s="5"/>
      <c r="E919" s="4" t="s">
        <v>193</v>
      </c>
      <c r="F919" s="69" t="s">
        <v>436</v>
      </c>
      <c r="G919" s="5" t="s">
        <v>66</v>
      </c>
      <c r="H919" s="10">
        <v>45503</v>
      </c>
      <c r="I919" s="21">
        <v>0.25</v>
      </c>
      <c r="J919" s="5" t="s">
        <v>14</v>
      </c>
      <c r="K919" s="22"/>
    </row>
    <row r="920" spans="2:11">
      <c r="B920" s="4" t="s">
        <v>33</v>
      </c>
      <c r="C920" s="5">
        <f>IF(B920&lt;&gt;"",VLOOKUP(B920,Projetos!E:F,2,0),"")</f>
        <v>18</v>
      </c>
      <c r="D920" s="5"/>
      <c r="E920" s="4" t="s">
        <v>26</v>
      </c>
      <c r="F920" s="69" t="s">
        <v>443</v>
      </c>
      <c r="G920" s="5" t="s">
        <v>28</v>
      </c>
      <c r="H920" s="10">
        <v>45503</v>
      </c>
      <c r="I920" s="21">
        <v>0.25</v>
      </c>
      <c r="J920" s="5" t="s">
        <v>14</v>
      </c>
      <c r="K920" s="22"/>
    </row>
    <row r="921" spans="2:11" ht="18" customHeight="1">
      <c r="B921" s="4" t="s">
        <v>231</v>
      </c>
      <c r="C921" s="5">
        <f>IF(B921&lt;&gt;"",VLOOKUP(B921,Projetos!E:F,2,0),"")</f>
        <v>35</v>
      </c>
      <c r="D921" s="5"/>
      <c r="E921" s="4" t="s">
        <v>49</v>
      </c>
      <c r="F921" s="69" t="s">
        <v>444</v>
      </c>
      <c r="G921" s="5" t="s">
        <v>64</v>
      </c>
      <c r="H921" s="10">
        <v>45503</v>
      </c>
      <c r="I921" s="30">
        <v>8.3333333333333329E-2</v>
      </c>
      <c r="J921" s="5" t="s">
        <v>14</v>
      </c>
      <c r="K921" s="22"/>
    </row>
    <row r="922" spans="2:11">
      <c r="B922" s="4" t="s">
        <v>294</v>
      </c>
      <c r="C922" s="5">
        <f>IF(B922&lt;&gt;"",VLOOKUP(B922,Projetos!E:F,2,0),"")</f>
        <v>26</v>
      </c>
      <c r="D922" s="5"/>
      <c r="E922" s="4" t="s">
        <v>40</v>
      </c>
      <c r="F922" s="69" t="s">
        <v>445</v>
      </c>
      <c r="G922" s="5" t="s">
        <v>42</v>
      </c>
      <c r="H922" s="10">
        <v>45504</v>
      </c>
      <c r="I922" s="30">
        <v>0.16666666666666666</v>
      </c>
      <c r="J922" s="5" t="s">
        <v>14</v>
      </c>
      <c r="K922" s="22"/>
    </row>
    <row r="923" spans="2:11">
      <c r="B923" s="4" t="s">
        <v>260</v>
      </c>
      <c r="C923" s="5">
        <f>IF(B923&lt;&gt;"",VLOOKUP(B923,Projetos!E:F,2,0),"")</f>
        <v>19</v>
      </c>
      <c r="D923" s="5"/>
      <c r="E923" s="4" t="s">
        <v>40</v>
      </c>
      <c r="F923" s="69" t="s">
        <v>446</v>
      </c>
      <c r="G923" s="5" t="s">
        <v>42</v>
      </c>
      <c r="H923" s="10">
        <v>45504</v>
      </c>
      <c r="I923" s="30">
        <v>8.3333333333333329E-2</v>
      </c>
      <c r="J923" s="5" t="s">
        <v>14</v>
      </c>
      <c r="K923" s="22"/>
    </row>
    <row r="924" spans="2:11">
      <c r="B924" s="4" t="s">
        <v>192</v>
      </c>
      <c r="C924" s="5">
        <f>IF(B924&lt;&gt;"",VLOOKUP(B924,Projetos!E:F,2,0),"")</f>
        <v>32</v>
      </c>
      <c r="D924" s="5"/>
      <c r="E924" s="4" t="s">
        <v>193</v>
      </c>
      <c r="F924" s="69" t="s">
        <v>447</v>
      </c>
      <c r="G924" s="5" t="s">
        <v>64</v>
      </c>
      <c r="H924" s="10">
        <v>45503</v>
      </c>
      <c r="I924" s="30">
        <v>4.1666666666666664E-2</v>
      </c>
      <c r="J924" s="5" t="s">
        <v>14</v>
      </c>
      <c r="K924" s="22"/>
    </row>
    <row r="925" spans="2:11">
      <c r="B925" s="4" t="s">
        <v>33</v>
      </c>
      <c r="C925" s="5">
        <f>IF(B925&lt;&gt;"",VLOOKUP(B925,Projetos!E:F,2,0),"")</f>
        <v>18</v>
      </c>
      <c r="D925" s="5"/>
      <c r="E925" s="4" t="s">
        <v>49</v>
      </c>
      <c r="F925" s="69" t="s">
        <v>448</v>
      </c>
      <c r="G925" s="5" t="s">
        <v>28</v>
      </c>
      <c r="H925" s="10">
        <v>45503</v>
      </c>
      <c r="I925" s="21">
        <v>0.25</v>
      </c>
      <c r="J925" s="5" t="s">
        <v>14</v>
      </c>
      <c r="K925" s="22"/>
    </row>
    <row r="926" spans="2:11">
      <c r="B926" s="4" t="s">
        <v>260</v>
      </c>
      <c r="C926" s="5">
        <f>IF(B926&lt;&gt;"",VLOOKUP(B926,Projetos!E:F,2,0),"")</f>
        <v>19</v>
      </c>
      <c r="D926" s="5"/>
      <c r="E926" s="4" t="s">
        <v>49</v>
      </c>
      <c r="F926" s="69" t="s">
        <v>449</v>
      </c>
      <c r="G926" s="5" t="s">
        <v>28</v>
      </c>
      <c r="H926" s="10">
        <v>45503</v>
      </c>
      <c r="I926" s="30">
        <v>1.3888888888888888E-2</v>
      </c>
      <c r="J926" s="5" t="s">
        <v>14</v>
      </c>
      <c r="K926" s="22"/>
    </row>
    <row r="927" spans="2:11">
      <c r="B927" s="4" t="s">
        <v>260</v>
      </c>
      <c r="C927" s="5">
        <f>IF(B927&lt;&gt;"",VLOOKUP(B927,Projetos!E:F,2,0),"")</f>
        <v>19</v>
      </c>
      <c r="D927" s="5"/>
      <c r="E927" s="4" t="s">
        <v>26</v>
      </c>
      <c r="F927" s="69" t="s">
        <v>450</v>
      </c>
      <c r="G927" s="5" t="s">
        <v>34</v>
      </c>
      <c r="H927" s="10">
        <v>45504</v>
      </c>
      <c r="I927" s="30">
        <v>8.3333333333333329E-2</v>
      </c>
      <c r="J927" s="5" t="s">
        <v>14</v>
      </c>
      <c r="K927" s="22"/>
    </row>
    <row r="928" spans="2:11" ht="30">
      <c r="B928" s="4" t="s">
        <v>385</v>
      </c>
      <c r="C928" s="5">
        <f>IF(B928&lt;&gt;"",VLOOKUP(B928,Projetos!E:F,2,0),"")</f>
        <v>48</v>
      </c>
      <c r="D928" s="5"/>
      <c r="E928" s="4" t="s">
        <v>31</v>
      </c>
      <c r="F928" s="69" t="s">
        <v>451</v>
      </c>
      <c r="G928" s="5" t="s">
        <v>34</v>
      </c>
      <c r="H928" s="10">
        <v>45505</v>
      </c>
      <c r="I928" s="30">
        <v>8.3333333333333329E-2</v>
      </c>
      <c r="J928" s="5" t="s">
        <v>14</v>
      </c>
      <c r="K928" s="22"/>
    </row>
    <row r="929" spans="2:11">
      <c r="B929" s="4" t="s">
        <v>192</v>
      </c>
      <c r="C929" s="5">
        <f>IF(B929&lt;&gt;"",VLOOKUP(B929,Projetos!E:F,2,0),"")</f>
        <v>32</v>
      </c>
      <c r="D929" s="5"/>
      <c r="E929" s="4" t="s">
        <v>193</v>
      </c>
      <c r="F929" s="69" t="s">
        <v>436</v>
      </c>
      <c r="G929" s="5" t="s">
        <v>66</v>
      </c>
      <c r="H929" s="10">
        <v>45504</v>
      </c>
      <c r="I929" s="21">
        <v>0.25</v>
      </c>
      <c r="J929" s="5" t="s">
        <v>14</v>
      </c>
      <c r="K929" s="22"/>
    </row>
    <row r="930" spans="2:11">
      <c r="B930" s="4" t="s">
        <v>385</v>
      </c>
      <c r="C930" s="5">
        <f>IF(B930&lt;&gt;"",VLOOKUP(B930,Projetos!E:F,2,0),"")</f>
        <v>48</v>
      </c>
      <c r="D930" s="5"/>
      <c r="E930" s="4" t="s">
        <v>16</v>
      </c>
      <c r="F930" s="69" t="s">
        <v>452</v>
      </c>
      <c r="G930" s="5" t="s">
        <v>20</v>
      </c>
      <c r="H930" s="10">
        <v>45505</v>
      </c>
      <c r="I930" s="21">
        <v>0.125</v>
      </c>
      <c r="J930" s="5" t="s">
        <v>14</v>
      </c>
      <c r="K930" s="22"/>
    </row>
    <row r="931" spans="2:11">
      <c r="B931" s="4" t="s">
        <v>385</v>
      </c>
      <c r="C931" s="5">
        <f>IF(B931&lt;&gt;"",VLOOKUP(B931,Projetos!E:F,2,0),"")</f>
        <v>48</v>
      </c>
      <c r="D931" s="5"/>
      <c r="E931" s="4" t="s">
        <v>16</v>
      </c>
      <c r="F931" s="69" t="s">
        <v>452</v>
      </c>
      <c r="G931" s="5" t="s">
        <v>42</v>
      </c>
      <c r="H931" s="10">
        <v>45505</v>
      </c>
      <c r="I931" s="21">
        <v>0.125</v>
      </c>
      <c r="J931" s="5" t="s">
        <v>14</v>
      </c>
      <c r="K931" s="22"/>
    </row>
    <row r="932" spans="2:11">
      <c r="B932" s="4" t="s">
        <v>138</v>
      </c>
      <c r="C932" s="5">
        <f>IF(B932&lt;&gt;"",VLOOKUP(B932,Projetos!E:F,2,0),"")</f>
        <v>30</v>
      </c>
      <c r="D932" s="5"/>
      <c r="E932" s="4" t="s">
        <v>16</v>
      </c>
      <c r="F932" s="69" t="s">
        <v>453</v>
      </c>
      <c r="G932" s="5" t="s">
        <v>20</v>
      </c>
      <c r="H932" s="10">
        <v>45505</v>
      </c>
      <c r="I932" s="21">
        <v>8.3333333333333329E-2</v>
      </c>
      <c r="J932" s="5" t="s">
        <v>14</v>
      </c>
      <c r="K932" s="22"/>
    </row>
    <row r="933" spans="2:11">
      <c r="B933" s="4" t="s">
        <v>138</v>
      </c>
      <c r="C933" s="5">
        <f>IF(B933&lt;&gt;"",VLOOKUP(B933,Projetos!E:F,2,0),"")</f>
        <v>30</v>
      </c>
      <c r="D933" s="5"/>
      <c r="E933" s="4" t="s">
        <v>16</v>
      </c>
      <c r="F933" s="69" t="s">
        <v>453</v>
      </c>
      <c r="G933" s="5" t="s">
        <v>19</v>
      </c>
      <c r="H933" s="10">
        <v>45505</v>
      </c>
      <c r="I933" s="21">
        <v>8.3333333333333329E-2</v>
      </c>
      <c r="J933" s="5" t="s">
        <v>14</v>
      </c>
      <c r="K933" s="22"/>
    </row>
    <row r="934" spans="2:11">
      <c r="B934" s="4" t="s">
        <v>138</v>
      </c>
      <c r="C934" s="5">
        <f>IF(B934&lt;&gt;"",VLOOKUP(B934,Projetos!E:F,2,0),"")</f>
        <v>30</v>
      </c>
      <c r="D934" s="5"/>
      <c r="E934" s="4" t="s">
        <v>16</v>
      </c>
      <c r="F934" s="69" t="s">
        <v>453</v>
      </c>
      <c r="G934" s="5" t="s">
        <v>174</v>
      </c>
      <c r="H934" s="10">
        <v>45505</v>
      </c>
      <c r="I934" s="21">
        <v>8.3333333333333329E-2</v>
      </c>
      <c r="J934" s="5" t="s">
        <v>14</v>
      </c>
      <c r="K934" s="22"/>
    </row>
    <row r="935" spans="2:11" ht="30">
      <c r="B935" s="24" t="s">
        <v>33</v>
      </c>
      <c r="C935" s="5">
        <f>IF(B935&lt;&gt;"",VLOOKUP(B935,Projetos!E:F,2,0),"")</f>
        <v>18</v>
      </c>
      <c r="D935" s="44"/>
      <c r="E935" s="24" t="s">
        <v>26</v>
      </c>
      <c r="F935" s="70" t="s">
        <v>454</v>
      </c>
      <c r="G935" s="44" t="s">
        <v>28</v>
      </c>
      <c r="H935" s="10">
        <v>45505</v>
      </c>
      <c r="I935" s="21">
        <v>0.33333333333333331</v>
      </c>
      <c r="J935" s="5" t="s">
        <v>14</v>
      </c>
      <c r="K935" s="22"/>
    </row>
    <row r="936" spans="2:11">
      <c r="B936" s="24" t="s">
        <v>128</v>
      </c>
      <c r="C936" s="44">
        <f>IF(B936&lt;&gt;"",VLOOKUP(B936,Projetos!E:F,2,0),"")</f>
        <v>23</v>
      </c>
      <c r="D936" s="44"/>
      <c r="E936" s="24" t="s">
        <v>49</v>
      </c>
      <c r="F936" s="70" t="s">
        <v>372</v>
      </c>
      <c r="G936" s="44" t="s">
        <v>20</v>
      </c>
      <c r="H936" s="45">
        <v>45505</v>
      </c>
      <c r="I936" s="46">
        <v>6.25E-2</v>
      </c>
      <c r="J936" s="44" t="s">
        <v>14</v>
      </c>
      <c r="K936" s="22"/>
    </row>
    <row r="937" spans="2:11">
      <c r="B937" s="24" t="s">
        <v>140</v>
      </c>
      <c r="C937" s="44">
        <f>IF(B937&lt;&gt;"",VLOOKUP(B937,Projetos!E:F,2,0),"")</f>
        <v>39</v>
      </c>
      <c r="D937" s="44"/>
      <c r="E937" s="24" t="s">
        <v>16</v>
      </c>
      <c r="F937" s="70" t="s">
        <v>455</v>
      </c>
      <c r="G937" s="44" t="s">
        <v>20</v>
      </c>
      <c r="H937" s="45">
        <v>45506</v>
      </c>
      <c r="I937" s="46">
        <v>8.3333333333333329E-2</v>
      </c>
      <c r="J937" s="44" t="s">
        <v>14</v>
      </c>
      <c r="K937" s="22"/>
    </row>
    <row r="938" spans="2:11">
      <c r="B938" s="24" t="s">
        <v>128</v>
      </c>
      <c r="C938" s="44">
        <f>IF(B938&lt;&gt;"",VLOOKUP(B938,Projetos!E:F,2,0),"")</f>
        <v>23</v>
      </c>
      <c r="D938" s="44"/>
      <c r="E938" s="24" t="s">
        <v>21</v>
      </c>
      <c r="F938" s="70" t="s">
        <v>456</v>
      </c>
      <c r="G938" s="44" t="s">
        <v>20</v>
      </c>
      <c r="H938" s="45">
        <v>45506</v>
      </c>
      <c r="I938" s="46">
        <v>0.16666666666666666</v>
      </c>
      <c r="J938" s="44" t="s">
        <v>14</v>
      </c>
      <c r="K938" s="22"/>
    </row>
    <row r="939" spans="2:11">
      <c r="B939" s="24" t="s">
        <v>128</v>
      </c>
      <c r="C939" s="44">
        <f>IF(B939&lt;&gt;"",VLOOKUP(B939,Projetos!E:F,2,0),"")</f>
        <v>23</v>
      </c>
      <c r="D939" s="44"/>
      <c r="E939" s="24" t="s">
        <v>49</v>
      </c>
      <c r="F939" s="70" t="s">
        <v>457</v>
      </c>
      <c r="G939" s="44" t="s">
        <v>20</v>
      </c>
      <c r="H939" s="45">
        <v>45506</v>
      </c>
      <c r="I939" s="30">
        <v>4.1666666666666664E-2</v>
      </c>
      <c r="J939" s="44" t="s">
        <v>14</v>
      </c>
      <c r="K939" s="22"/>
    </row>
    <row r="940" spans="2:11">
      <c r="B940" s="24" t="s">
        <v>128</v>
      </c>
      <c r="C940" s="44">
        <f>IF(B940&lt;&gt;"",VLOOKUP(B940,Projetos!E:F,2,0),"")</f>
        <v>23</v>
      </c>
      <c r="D940" s="44"/>
      <c r="E940" s="24" t="s">
        <v>16</v>
      </c>
      <c r="F940" s="69" t="s">
        <v>458</v>
      </c>
      <c r="G940" s="44" t="s">
        <v>178</v>
      </c>
      <c r="H940" s="45">
        <v>45509</v>
      </c>
      <c r="I940" s="21">
        <v>8.3333333333333329E-2</v>
      </c>
      <c r="J940" s="5" t="s">
        <v>14</v>
      </c>
      <c r="K940" s="22"/>
    </row>
    <row r="941" spans="2:11">
      <c r="B941" s="24" t="s">
        <v>128</v>
      </c>
      <c r="C941" s="44">
        <f>IF(B941&lt;&gt;"",VLOOKUP(B941,Projetos!E:F,2,0),"")</f>
        <v>23</v>
      </c>
      <c r="D941" s="44"/>
      <c r="E941" s="24" t="s">
        <v>16</v>
      </c>
      <c r="F941" s="69" t="s">
        <v>458</v>
      </c>
      <c r="G941" s="44" t="s">
        <v>20</v>
      </c>
      <c r="H941" s="45">
        <v>45509</v>
      </c>
      <c r="I941" s="21">
        <v>8.3333333333333329E-2</v>
      </c>
      <c r="J941" s="5" t="s">
        <v>14</v>
      </c>
      <c r="K941" s="22"/>
    </row>
    <row r="942" spans="2:11">
      <c r="B942" s="4" t="s">
        <v>138</v>
      </c>
      <c r="C942" s="5">
        <f>IF(B942&lt;&gt;"",VLOOKUP(B942,Projetos!E:F,2,0),"")</f>
        <v>30</v>
      </c>
      <c r="D942" s="5"/>
      <c r="E942" s="4" t="s">
        <v>16</v>
      </c>
      <c r="F942" s="69" t="s">
        <v>453</v>
      </c>
      <c r="G942" s="5" t="s">
        <v>20</v>
      </c>
      <c r="H942" s="10">
        <v>45509</v>
      </c>
      <c r="I942" s="21">
        <v>8.3333333333333329E-2</v>
      </c>
      <c r="J942" s="5" t="s">
        <v>14</v>
      </c>
      <c r="K942" s="22"/>
    </row>
    <row r="943" spans="2:11">
      <c r="B943" s="4" t="s">
        <v>138</v>
      </c>
      <c r="C943" s="5">
        <f>IF(B943&lt;&gt;"",VLOOKUP(B943,Projetos!E:F,2,0),"")</f>
        <v>30</v>
      </c>
      <c r="D943" s="5"/>
      <c r="E943" s="4" t="s">
        <v>16</v>
      </c>
      <c r="F943" s="69" t="s">
        <v>453</v>
      </c>
      <c r="G943" s="5" t="s">
        <v>19</v>
      </c>
      <c r="H943" s="10">
        <v>45509</v>
      </c>
      <c r="I943" s="21">
        <v>8.3333333333333329E-2</v>
      </c>
      <c r="J943" s="5" t="s">
        <v>14</v>
      </c>
      <c r="K943" s="22"/>
    </row>
    <row r="944" spans="2:11">
      <c r="B944" s="4" t="s">
        <v>138</v>
      </c>
      <c r="C944" s="5">
        <f>IF(B944&lt;&gt;"",VLOOKUP(B944,Projetos!E:F,2,0),"")</f>
        <v>30</v>
      </c>
      <c r="D944" s="5"/>
      <c r="E944" s="4" t="s">
        <v>16</v>
      </c>
      <c r="F944" s="69" t="s">
        <v>453</v>
      </c>
      <c r="G944" s="5" t="s">
        <v>174</v>
      </c>
      <c r="H944" s="10">
        <v>45509</v>
      </c>
      <c r="I944" s="21">
        <v>8.3333333333333329E-2</v>
      </c>
      <c r="J944" s="5" t="s">
        <v>14</v>
      </c>
      <c r="K944" s="22"/>
    </row>
    <row r="945" spans="2:11">
      <c r="B945" s="24" t="s">
        <v>128</v>
      </c>
      <c r="C945" s="5">
        <f>IF(B945&lt;&gt;"",VLOOKUP(B945,Projetos!E:F,2,0),"")</f>
        <v>23</v>
      </c>
      <c r="D945" s="5"/>
      <c r="E945" s="4" t="s">
        <v>49</v>
      </c>
      <c r="F945" s="69" t="s">
        <v>459</v>
      </c>
      <c r="G945" s="5" t="s">
        <v>28</v>
      </c>
      <c r="H945" s="10">
        <v>45506</v>
      </c>
      <c r="I945" s="46">
        <v>0.16666666666666666</v>
      </c>
      <c r="J945" s="5" t="s">
        <v>14</v>
      </c>
      <c r="K945" s="22"/>
    </row>
    <row r="946" spans="2:11">
      <c r="B946" s="24" t="s">
        <v>128</v>
      </c>
      <c r="C946" s="5">
        <f>IF(B946&lt;&gt;"",VLOOKUP(B946,Projetos!E:F,2,0),"")</f>
        <v>23</v>
      </c>
      <c r="D946" s="5"/>
      <c r="E946" s="4" t="s">
        <v>16</v>
      </c>
      <c r="F946" s="69" t="s">
        <v>460</v>
      </c>
      <c r="G946" s="5" t="s">
        <v>20</v>
      </c>
      <c r="H946" s="10">
        <v>45509</v>
      </c>
      <c r="I946" s="21">
        <v>4.1666666666666664E-2</v>
      </c>
      <c r="J946" s="5" t="s">
        <v>14</v>
      </c>
      <c r="K946" s="22"/>
    </row>
    <row r="947" spans="2:11">
      <c r="B947" s="24" t="s">
        <v>385</v>
      </c>
      <c r="C947" s="5">
        <f>IF(B947&lt;&gt;"",VLOOKUP(B947,Projetos!E:F,2,0),"")</f>
        <v>48</v>
      </c>
      <c r="D947" s="5"/>
      <c r="E947" s="4" t="s">
        <v>49</v>
      </c>
      <c r="F947" s="69" t="s">
        <v>461</v>
      </c>
      <c r="G947" s="5" t="s">
        <v>42</v>
      </c>
      <c r="H947" s="10">
        <v>45505</v>
      </c>
      <c r="I947" s="21">
        <v>0.20833333333333334</v>
      </c>
      <c r="J947" s="5" t="s">
        <v>14</v>
      </c>
      <c r="K947" s="22"/>
    </row>
    <row r="948" spans="2:11">
      <c r="B948" s="24" t="s">
        <v>192</v>
      </c>
      <c r="C948" s="44">
        <f>IF(B948&lt;&gt;"",VLOOKUP(B948,Projetos!E:F,2,0),"")</f>
        <v>32</v>
      </c>
      <c r="D948" s="44"/>
      <c r="E948" s="24" t="s">
        <v>193</v>
      </c>
      <c r="F948" s="70" t="s">
        <v>436</v>
      </c>
      <c r="G948" s="44" t="s">
        <v>66</v>
      </c>
      <c r="H948" s="45">
        <v>45505</v>
      </c>
      <c r="I948" s="55">
        <v>0.25</v>
      </c>
      <c r="J948" s="44" t="s">
        <v>14</v>
      </c>
      <c r="K948" s="22"/>
    </row>
    <row r="949" spans="2:11">
      <c r="B949" s="22" t="s">
        <v>128</v>
      </c>
      <c r="C949" s="35">
        <f>IF(B949&lt;&gt;"",VLOOKUP(B949,Projetos!E:F,2,0),"")</f>
        <v>23</v>
      </c>
      <c r="D949" s="35"/>
      <c r="E949" s="26" t="s">
        <v>16</v>
      </c>
      <c r="F949" s="71" t="s">
        <v>460</v>
      </c>
      <c r="G949" s="35" t="s">
        <v>178</v>
      </c>
      <c r="H949" s="42">
        <v>45509</v>
      </c>
      <c r="I949" s="43">
        <v>4.1666666666666664E-2</v>
      </c>
      <c r="J949" s="35" t="s">
        <v>14</v>
      </c>
      <c r="K949" s="54"/>
    </row>
    <row r="950" spans="2:11" ht="30">
      <c r="B950" t="s">
        <v>33</v>
      </c>
      <c r="C950" s="35">
        <f>IF(B950&lt;&gt;"",VLOOKUP(B950,Projetos!E:F,2,0),"")</f>
        <v>18</v>
      </c>
      <c r="D950" s="3"/>
      <c r="E950" s="22" t="s">
        <v>49</v>
      </c>
      <c r="F950" s="72" t="s">
        <v>462</v>
      </c>
      <c r="G950" s="3" t="s">
        <v>28</v>
      </c>
      <c r="H950" s="42">
        <v>45509</v>
      </c>
      <c r="I950" s="21">
        <v>0.20833333333333334</v>
      </c>
      <c r="J950" s="35" t="s">
        <v>14</v>
      </c>
      <c r="K950" s="54"/>
    </row>
    <row r="951" spans="2:11">
      <c r="B951" s="4" t="s">
        <v>138</v>
      </c>
      <c r="C951" s="44">
        <f>IF(B951&lt;&gt;"",VLOOKUP(B951,Projetos!E:F,2,0),"")</f>
        <v>30</v>
      </c>
      <c r="D951" s="44"/>
      <c r="E951" s="114" t="s">
        <v>16</v>
      </c>
      <c r="F951" s="69" t="s">
        <v>463</v>
      </c>
      <c r="G951" s="44" t="s">
        <v>178</v>
      </c>
      <c r="H951" s="45">
        <v>45509</v>
      </c>
      <c r="I951" s="21">
        <v>0.125</v>
      </c>
      <c r="J951" s="5" t="s">
        <v>14</v>
      </c>
      <c r="K951" s="54"/>
    </row>
    <row r="952" spans="2:11">
      <c r="B952" s="4" t="s">
        <v>138</v>
      </c>
      <c r="C952" s="44">
        <f>IF(B952&lt;&gt;"",VLOOKUP(B952,Projetos!E:F,2,0),"")</f>
        <v>30</v>
      </c>
      <c r="D952" s="44"/>
      <c r="E952" s="24" t="s">
        <v>16</v>
      </c>
      <c r="F952" s="69" t="s">
        <v>463</v>
      </c>
      <c r="G952" s="44" t="s">
        <v>20</v>
      </c>
      <c r="H952" s="45">
        <v>45509</v>
      </c>
      <c r="I952" s="21">
        <v>0.125</v>
      </c>
      <c r="J952" s="5" t="s">
        <v>14</v>
      </c>
      <c r="K952" s="54"/>
    </row>
    <row r="953" spans="2:11">
      <c r="B953" s="4" t="s">
        <v>33</v>
      </c>
      <c r="C953" s="44">
        <f>IF(B953&lt;&gt;"",VLOOKUP(B953,Projetos!E:F,2,0),"")</f>
        <v>18</v>
      </c>
      <c r="D953" s="44"/>
      <c r="E953" s="24" t="s">
        <v>31</v>
      </c>
      <c r="F953" s="69" t="s">
        <v>464</v>
      </c>
      <c r="G953" s="44" t="s">
        <v>42</v>
      </c>
      <c r="H953" s="45">
        <v>45506</v>
      </c>
      <c r="I953" s="21">
        <v>0.33333333333333331</v>
      </c>
      <c r="J953" s="5" t="s">
        <v>14</v>
      </c>
      <c r="K953" s="54"/>
    </row>
    <row r="954" spans="2:11">
      <c r="B954" s="4" t="s">
        <v>118</v>
      </c>
      <c r="C954" s="44">
        <f>IF(B954&lt;&gt;"",VLOOKUP(B954,Projetos!E:F,2,0),"")</f>
        <v>21</v>
      </c>
      <c r="D954" s="44"/>
      <c r="E954" s="24" t="s">
        <v>49</v>
      </c>
      <c r="F954" s="69" t="s">
        <v>465</v>
      </c>
      <c r="G954" s="44" t="s">
        <v>28</v>
      </c>
      <c r="H954" s="45">
        <v>45510</v>
      </c>
      <c r="I954" s="21">
        <v>0.125</v>
      </c>
      <c r="J954" s="5" t="s">
        <v>14</v>
      </c>
      <c r="K954" s="54"/>
    </row>
    <row r="955" spans="2:11" ht="30">
      <c r="B955" s="4" t="s">
        <v>128</v>
      </c>
      <c r="C955" s="44">
        <f>IF(B955&lt;&gt;"",VLOOKUP(B955,Projetos!E:F,2,0),"")</f>
        <v>23</v>
      </c>
      <c r="D955" s="44"/>
      <c r="E955" s="24" t="s">
        <v>26</v>
      </c>
      <c r="F955" s="69" t="s">
        <v>466</v>
      </c>
      <c r="G955" s="44" t="s">
        <v>28</v>
      </c>
      <c r="H955" s="45">
        <v>45510</v>
      </c>
      <c r="I955" s="21">
        <v>0.20833333333333334</v>
      </c>
      <c r="J955" s="5" t="s">
        <v>14</v>
      </c>
      <c r="K955" s="54"/>
    </row>
    <row r="956" spans="2:11">
      <c r="B956" s="4" t="s">
        <v>138</v>
      </c>
      <c r="C956" s="44">
        <f>IF(B956&lt;&gt;"",VLOOKUP(B956,Projetos!E:F,2,0),"")</f>
        <v>30</v>
      </c>
      <c r="D956" s="44"/>
      <c r="E956" s="24" t="s">
        <v>16</v>
      </c>
      <c r="F956" s="69" t="s">
        <v>463</v>
      </c>
      <c r="G956" s="44" t="s">
        <v>34</v>
      </c>
      <c r="H956" s="45">
        <v>45509</v>
      </c>
      <c r="I956" s="21">
        <v>0.125</v>
      </c>
      <c r="J956" s="5" t="s">
        <v>14</v>
      </c>
      <c r="K956" s="54"/>
    </row>
    <row r="957" spans="2:11">
      <c r="B957" s="4" t="s">
        <v>192</v>
      </c>
      <c r="C957" s="44">
        <f>IF(B957&lt;&gt;"",VLOOKUP(B957,Projetos!E:F,2,0),"")</f>
        <v>32</v>
      </c>
      <c r="D957" s="44"/>
      <c r="E957" s="24" t="s">
        <v>193</v>
      </c>
      <c r="F957" s="69" t="s">
        <v>436</v>
      </c>
      <c r="G957" s="44" t="s">
        <v>64</v>
      </c>
      <c r="H957" s="45">
        <v>45504</v>
      </c>
      <c r="I957" s="21">
        <v>0.33333333333333331</v>
      </c>
      <c r="J957" s="5" t="s">
        <v>14</v>
      </c>
      <c r="K957" s="54"/>
    </row>
    <row r="958" spans="2:11">
      <c r="B958" s="24" t="s">
        <v>192</v>
      </c>
      <c r="C958" s="44">
        <f>IF(B958&lt;&gt;"",VLOOKUP(B958,Projetos!E:F,2,0),"")</f>
        <v>32</v>
      </c>
      <c r="D958" s="44"/>
      <c r="E958" s="24" t="s">
        <v>193</v>
      </c>
      <c r="F958" s="70" t="s">
        <v>436</v>
      </c>
      <c r="G958" s="44" t="s">
        <v>66</v>
      </c>
      <c r="H958" s="45">
        <v>45506</v>
      </c>
      <c r="I958" s="55">
        <v>0.1875</v>
      </c>
      <c r="J958" s="44" t="s">
        <v>14</v>
      </c>
      <c r="K958" s="54"/>
    </row>
    <row r="959" spans="2:11">
      <c r="B959" s="4" t="s">
        <v>138</v>
      </c>
      <c r="C959" s="44">
        <f>IF(B959&lt;&gt;"",VLOOKUP(B959,Projetos!E:F,2,0),"")</f>
        <v>30</v>
      </c>
      <c r="D959" s="44"/>
      <c r="E959" s="24" t="s">
        <v>16</v>
      </c>
      <c r="F959" s="69" t="s">
        <v>463</v>
      </c>
      <c r="G959" s="44" t="s">
        <v>174</v>
      </c>
      <c r="H959" s="45">
        <v>45509</v>
      </c>
      <c r="I959" s="21">
        <v>0.125</v>
      </c>
      <c r="J959" s="5" t="s">
        <v>14</v>
      </c>
      <c r="K959" s="54"/>
    </row>
    <row r="960" spans="2:11">
      <c r="B960" s="22" t="s">
        <v>138</v>
      </c>
      <c r="C960" s="35">
        <f>IF(B960&lt;&gt;"",VLOOKUP(B960,Projetos!E:F,2,0),"")</f>
        <v>30</v>
      </c>
      <c r="D960" s="35"/>
      <c r="E960" s="22" t="s">
        <v>16</v>
      </c>
      <c r="F960" s="71" t="s">
        <v>463</v>
      </c>
      <c r="G960" s="35" t="s">
        <v>19</v>
      </c>
      <c r="H960" s="42">
        <v>45509</v>
      </c>
      <c r="I960" s="43">
        <v>0.125</v>
      </c>
      <c r="J960" s="35" t="s">
        <v>14</v>
      </c>
      <c r="K960" s="54"/>
    </row>
    <row r="961" spans="2:11" ht="30">
      <c r="B961" s="47" t="s">
        <v>192</v>
      </c>
      <c r="C961" s="48">
        <f>IF(B961&lt;&gt;"",VLOOKUP(B961,Projetos!E:F,2,0),"")</f>
        <v>32</v>
      </c>
      <c r="D961" s="48"/>
      <c r="E961" s="47" t="s">
        <v>193</v>
      </c>
      <c r="F961" s="78" t="s">
        <v>467</v>
      </c>
      <c r="G961" s="48" t="s">
        <v>66</v>
      </c>
      <c r="H961" s="49">
        <v>45506</v>
      </c>
      <c r="I961" s="56">
        <v>6.25E-2</v>
      </c>
      <c r="J961" s="48" t="s">
        <v>14</v>
      </c>
      <c r="K961" s="22"/>
    </row>
    <row r="962" spans="2:11" ht="30">
      <c r="B962" s="4" t="s">
        <v>136</v>
      </c>
      <c r="C962" s="5">
        <f>IF(B962&lt;&gt;"",VLOOKUP(B962,Projetos!E:F,2,0),"")</f>
        <v>25</v>
      </c>
      <c r="D962" s="5"/>
      <c r="E962" s="4" t="s">
        <v>49</v>
      </c>
      <c r="F962" s="69" t="s">
        <v>468</v>
      </c>
      <c r="G962" s="5" t="s">
        <v>64</v>
      </c>
      <c r="H962" s="10">
        <v>45506</v>
      </c>
      <c r="I962" s="30">
        <v>0.16666666666666666</v>
      </c>
      <c r="J962" s="5" t="s">
        <v>14</v>
      </c>
      <c r="K962" s="22"/>
    </row>
    <row r="963" spans="2:11">
      <c r="B963" s="4" t="s">
        <v>128</v>
      </c>
      <c r="C963" s="5">
        <f>IF(B963&lt;&gt;"",VLOOKUP(B963,Projetos!E:F,2,0),"")</f>
        <v>23</v>
      </c>
      <c r="D963" s="5"/>
      <c r="E963" s="4" t="s">
        <v>16</v>
      </c>
      <c r="F963" s="69" t="s">
        <v>460</v>
      </c>
      <c r="G963" s="5" t="s">
        <v>66</v>
      </c>
      <c r="H963" s="10">
        <v>45509</v>
      </c>
      <c r="I963" s="21">
        <v>4.1666666666666664E-2</v>
      </c>
      <c r="J963" s="5" t="s">
        <v>14</v>
      </c>
      <c r="K963" s="22"/>
    </row>
    <row r="964" spans="2:11" ht="30">
      <c r="B964" s="4" t="s">
        <v>136</v>
      </c>
      <c r="C964" s="5">
        <f>IF(B964&lt;&gt;"",VLOOKUP(B964,Projetos!E:F,2,0),"")</f>
        <v>25</v>
      </c>
      <c r="D964" s="5"/>
      <c r="E964" s="4" t="s">
        <v>49</v>
      </c>
      <c r="F964" s="69" t="s">
        <v>469</v>
      </c>
      <c r="G964" s="5" t="s">
        <v>64</v>
      </c>
      <c r="H964" s="10">
        <v>45506</v>
      </c>
      <c r="I964" s="30">
        <v>0.16666666666666666</v>
      </c>
      <c r="J964" s="5" t="s">
        <v>14</v>
      </c>
      <c r="K964" s="22"/>
    </row>
    <row r="965" spans="2:11">
      <c r="B965" s="4" t="s">
        <v>138</v>
      </c>
      <c r="C965" s="5">
        <f>IF(B965&lt;&gt;"",VLOOKUP(B965,Projetos!E:F,2,0),"")</f>
        <v>30</v>
      </c>
      <c r="D965" s="5"/>
      <c r="E965" s="4" t="s">
        <v>16</v>
      </c>
      <c r="F965" s="69" t="s">
        <v>463</v>
      </c>
      <c r="G965" s="5" t="s">
        <v>66</v>
      </c>
      <c r="H965" s="10">
        <v>45509</v>
      </c>
      <c r="I965" s="21">
        <v>0.125</v>
      </c>
      <c r="J965" s="5" t="s">
        <v>14</v>
      </c>
      <c r="K965" s="22"/>
    </row>
    <row r="966" spans="2:11">
      <c r="B966" s="4" t="s">
        <v>138</v>
      </c>
      <c r="C966" s="5">
        <f>IF(B966&lt;&gt;"",VLOOKUP(B966,Projetos!E:F,2,0),"")</f>
        <v>30</v>
      </c>
      <c r="D966" s="5"/>
      <c r="E966" s="4" t="s">
        <v>16</v>
      </c>
      <c r="F966" s="69" t="s">
        <v>463</v>
      </c>
      <c r="G966" s="5" t="s">
        <v>64</v>
      </c>
      <c r="H966" s="10">
        <v>45509</v>
      </c>
      <c r="I966" s="21">
        <v>0.125</v>
      </c>
      <c r="J966" s="5" t="s">
        <v>14</v>
      </c>
      <c r="K966" s="22"/>
    </row>
    <row r="967" spans="2:11" ht="30">
      <c r="B967" s="4" t="s">
        <v>138</v>
      </c>
      <c r="C967" s="5">
        <f>IF(B967&lt;&gt;"",VLOOKUP(B967,Projetos!E:F,2,0),"")</f>
        <v>30</v>
      </c>
      <c r="D967" s="5"/>
      <c r="E967" s="4" t="s">
        <v>26</v>
      </c>
      <c r="F967" s="69" t="s">
        <v>470</v>
      </c>
      <c r="G967" s="5" t="s">
        <v>34</v>
      </c>
      <c r="H967" s="10">
        <v>45509</v>
      </c>
      <c r="I967" s="30">
        <v>0.125</v>
      </c>
      <c r="J967" s="5" t="s">
        <v>14</v>
      </c>
      <c r="K967" s="22"/>
    </row>
    <row r="968" spans="2:11">
      <c r="B968" s="4" t="s">
        <v>156</v>
      </c>
      <c r="C968" s="5">
        <f>IF(B968&lt;&gt;"",VLOOKUP(B968,Projetos!E:F,2,0),"")</f>
        <v>3</v>
      </c>
      <c r="D968" s="5"/>
      <c r="E968" s="4" t="s">
        <v>49</v>
      </c>
      <c r="F968" s="69" t="s">
        <v>350</v>
      </c>
      <c r="G968" s="5" t="s">
        <v>13</v>
      </c>
      <c r="H968" s="10">
        <v>45496</v>
      </c>
      <c r="I968" s="30">
        <v>0.22916666666666666</v>
      </c>
      <c r="J968" s="5" t="s">
        <v>14</v>
      </c>
      <c r="K968" s="22"/>
    </row>
    <row r="969" spans="2:11">
      <c r="B969" s="4" t="s">
        <v>156</v>
      </c>
      <c r="C969" s="5">
        <f>IF(B969&lt;&gt;"",VLOOKUP(B969,Projetos!E:F,2,0),"")</f>
        <v>3</v>
      </c>
      <c r="D969" s="5"/>
      <c r="E969" s="4" t="s">
        <v>49</v>
      </c>
      <c r="F969" s="69" t="s">
        <v>350</v>
      </c>
      <c r="G969" s="5" t="s">
        <v>13</v>
      </c>
      <c r="H969" s="10">
        <v>45499</v>
      </c>
      <c r="I969" s="30">
        <v>0.22916666666666666</v>
      </c>
      <c r="J969" s="5" t="s">
        <v>14</v>
      </c>
      <c r="K969" s="22"/>
    </row>
    <row r="970" spans="2:11">
      <c r="B970" s="4" t="s">
        <v>156</v>
      </c>
      <c r="C970" s="5">
        <f>IF(B970&lt;&gt;"",VLOOKUP(B970,Projetos!E:F,2,0),"")</f>
        <v>3</v>
      </c>
      <c r="D970" s="5"/>
      <c r="E970" s="4" t="s">
        <v>49</v>
      </c>
      <c r="F970" s="69" t="s">
        <v>350</v>
      </c>
      <c r="G970" s="5" t="s">
        <v>13</v>
      </c>
      <c r="H970" s="10">
        <v>45409</v>
      </c>
      <c r="I970" s="30">
        <v>0.22916666666666666</v>
      </c>
      <c r="J970" s="5" t="s">
        <v>14</v>
      </c>
      <c r="K970" s="22"/>
    </row>
    <row r="971" spans="2:11">
      <c r="B971" s="4" t="s">
        <v>156</v>
      </c>
      <c r="C971" s="5">
        <f>IF(B971&lt;&gt;"",VLOOKUP(B971,Projetos!E:F,2,0),"")</f>
        <v>3</v>
      </c>
      <c r="D971" s="5"/>
      <c r="E971" s="4" t="s">
        <v>49</v>
      </c>
      <c r="F971" s="69" t="s">
        <v>350</v>
      </c>
      <c r="G971" s="5" t="s">
        <v>13</v>
      </c>
      <c r="H971" s="10">
        <v>45501</v>
      </c>
      <c r="I971" s="30">
        <v>0.22916666666666666</v>
      </c>
      <c r="J971" s="5" t="s">
        <v>14</v>
      </c>
      <c r="K971" s="22"/>
    </row>
    <row r="972" spans="2:11">
      <c r="B972" s="4" t="s">
        <v>156</v>
      </c>
      <c r="C972" s="5">
        <f>IF(B972&lt;&gt;"",VLOOKUP(B972,Projetos!E:F,2,0),"")</f>
        <v>3</v>
      </c>
      <c r="D972" s="5"/>
      <c r="E972" s="4" t="s">
        <v>49</v>
      </c>
      <c r="F972" s="69" t="s">
        <v>350</v>
      </c>
      <c r="G972" s="5" t="s">
        <v>13</v>
      </c>
      <c r="H972" s="10">
        <v>45502</v>
      </c>
      <c r="I972" s="30">
        <v>0.22916666666666666</v>
      </c>
      <c r="J972" s="5" t="s">
        <v>14</v>
      </c>
      <c r="K972" s="22"/>
    </row>
    <row r="973" spans="2:11">
      <c r="B973" s="4" t="s">
        <v>156</v>
      </c>
      <c r="C973" s="5">
        <f>IF(B973&lt;&gt;"",VLOOKUP(B973,Projetos!E:F,2,0),"")</f>
        <v>3</v>
      </c>
      <c r="D973" s="5"/>
      <c r="E973" s="4" t="s">
        <v>49</v>
      </c>
      <c r="F973" s="69" t="s">
        <v>350</v>
      </c>
      <c r="G973" s="5" t="s">
        <v>13</v>
      </c>
      <c r="H973" s="10">
        <v>45489</v>
      </c>
      <c r="I973" s="30">
        <v>0.22916666666666666</v>
      </c>
      <c r="J973" s="5" t="s">
        <v>14</v>
      </c>
      <c r="K973" s="22"/>
    </row>
    <row r="974" spans="2:11">
      <c r="B974" s="4" t="s">
        <v>156</v>
      </c>
      <c r="C974" s="5">
        <f>IF(B974&lt;&gt;"",VLOOKUP(B974,Projetos!E:F,2,0),"")</f>
        <v>3</v>
      </c>
      <c r="D974" s="5"/>
      <c r="E974" s="4" t="s">
        <v>49</v>
      </c>
      <c r="F974" s="69" t="s">
        <v>350</v>
      </c>
      <c r="G974" s="5" t="s">
        <v>13</v>
      </c>
      <c r="H974" s="10">
        <v>45490</v>
      </c>
      <c r="I974" s="30">
        <v>0.22916666666666666</v>
      </c>
      <c r="J974" s="5" t="s">
        <v>14</v>
      </c>
      <c r="K974" s="22"/>
    </row>
    <row r="975" spans="2:11">
      <c r="B975" s="4" t="s">
        <v>156</v>
      </c>
      <c r="C975" s="5">
        <f>IF(B975&lt;&gt;"",VLOOKUP(B975,Projetos!E:F,2,0),"")</f>
        <v>3</v>
      </c>
      <c r="D975" s="5"/>
      <c r="E975" s="4" t="s">
        <v>49</v>
      </c>
      <c r="F975" s="69" t="s">
        <v>350</v>
      </c>
      <c r="G975" s="5" t="s">
        <v>13</v>
      </c>
      <c r="H975" s="10">
        <v>45491</v>
      </c>
      <c r="I975" s="30">
        <v>0.22916666666666666</v>
      </c>
      <c r="J975" s="5" t="s">
        <v>14</v>
      </c>
      <c r="K975" s="22"/>
    </row>
    <row r="976" spans="2:11">
      <c r="B976" s="4" t="s">
        <v>61</v>
      </c>
      <c r="C976" s="5">
        <f>IF(B976&lt;&gt;"",VLOOKUP(B976,Projetos!E:F,2,0),"")</f>
        <v>11</v>
      </c>
      <c r="D976" s="5"/>
      <c r="E976" s="4" t="s">
        <v>158</v>
      </c>
      <c r="F976" s="69" t="s">
        <v>471</v>
      </c>
      <c r="G976" s="5" t="s">
        <v>13</v>
      </c>
      <c r="H976" s="10">
        <v>45492</v>
      </c>
      <c r="I976" s="30">
        <v>0.22916666666666666</v>
      </c>
      <c r="J976" s="5" t="s">
        <v>14</v>
      </c>
      <c r="K976" s="22"/>
    </row>
    <row r="977" spans="2:11">
      <c r="B977" s="4" t="s">
        <v>156</v>
      </c>
      <c r="C977" s="5">
        <f>IF(B977&lt;&gt;"",VLOOKUP(B977,Projetos!E:F,2,0),"")</f>
        <v>3</v>
      </c>
      <c r="D977" s="5"/>
      <c r="E977" s="4" t="s">
        <v>49</v>
      </c>
      <c r="F977" s="69" t="s">
        <v>350</v>
      </c>
      <c r="G977" s="5" t="s">
        <v>13</v>
      </c>
      <c r="H977" s="10">
        <v>45495</v>
      </c>
      <c r="I977" s="30">
        <v>0.22916666666666666</v>
      </c>
      <c r="J977" s="5" t="s">
        <v>14</v>
      </c>
      <c r="K977" s="22"/>
    </row>
    <row r="978" spans="2:11">
      <c r="B978" s="4" t="s">
        <v>156</v>
      </c>
      <c r="C978" s="5">
        <f>IF(B978&lt;&gt;"",VLOOKUP(B978,Projetos!E:F,2,0),"")</f>
        <v>3</v>
      </c>
      <c r="D978" s="5"/>
      <c r="E978" s="4" t="s">
        <v>21</v>
      </c>
      <c r="F978" s="69" t="s">
        <v>472</v>
      </c>
      <c r="G978" s="5" t="s">
        <v>174</v>
      </c>
      <c r="H978" s="10">
        <v>45504</v>
      </c>
      <c r="I978" s="21">
        <v>4.1666666666666664E-2</v>
      </c>
      <c r="J978" s="5" t="s">
        <v>14</v>
      </c>
      <c r="K978" s="22"/>
    </row>
    <row r="979" spans="2:11" ht="30">
      <c r="B979" s="4" t="s">
        <v>138</v>
      </c>
      <c r="C979" s="5">
        <f>IF(B979&lt;&gt;"",VLOOKUP(B979,Projetos!E:F,2,0),"")</f>
        <v>30</v>
      </c>
      <c r="D979" s="5"/>
      <c r="E979" s="4" t="s">
        <v>21</v>
      </c>
      <c r="F979" s="69" t="s">
        <v>473</v>
      </c>
      <c r="G979" s="5" t="s">
        <v>174</v>
      </c>
      <c r="H979" s="10">
        <v>45504</v>
      </c>
      <c r="I979" s="21">
        <v>0.16666666666666666</v>
      </c>
      <c r="J979" s="5" t="s">
        <v>14</v>
      </c>
      <c r="K979" s="22"/>
    </row>
    <row r="980" spans="2:11" ht="30">
      <c r="B980" s="4" t="s">
        <v>138</v>
      </c>
      <c r="C980" s="5">
        <f>IF(B980&lt;&gt;"",VLOOKUP(B980,Projetos!E:F,2,0),"")</f>
        <v>30</v>
      </c>
      <c r="D980" s="5"/>
      <c r="E980" s="4" t="s">
        <v>21</v>
      </c>
      <c r="F980" s="69" t="s">
        <v>473</v>
      </c>
      <c r="G980" s="5" t="s">
        <v>13</v>
      </c>
      <c r="H980" s="10">
        <v>45504</v>
      </c>
      <c r="I980" s="21">
        <v>0.22916666666666666</v>
      </c>
      <c r="J980" s="5" t="s">
        <v>14</v>
      </c>
      <c r="K980" s="22"/>
    </row>
    <row r="981" spans="2:11">
      <c r="B981" s="4" t="s">
        <v>156</v>
      </c>
      <c r="C981" s="5">
        <f>IF(B981&lt;&gt;"",VLOOKUP(B981,Projetos!E:F,2,0),"")</f>
        <v>3</v>
      </c>
      <c r="D981" s="5"/>
      <c r="E981" s="4" t="s">
        <v>49</v>
      </c>
      <c r="F981" s="69" t="s">
        <v>350</v>
      </c>
      <c r="G981" s="5" t="s">
        <v>13</v>
      </c>
      <c r="H981" s="10">
        <v>45505</v>
      </c>
      <c r="I981" s="30">
        <v>0.22916666666666666</v>
      </c>
      <c r="J981" s="5" t="s">
        <v>14</v>
      </c>
      <c r="K981" s="22"/>
    </row>
    <row r="982" spans="2:11">
      <c r="B982" s="4" t="s">
        <v>156</v>
      </c>
      <c r="C982" s="5">
        <f>IF(B982&lt;&gt;"",VLOOKUP(B982,Projetos!E:F,2,0),"")</f>
        <v>3</v>
      </c>
      <c r="D982" s="5"/>
      <c r="E982" s="4" t="s">
        <v>49</v>
      </c>
      <c r="F982" s="69" t="s">
        <v>350</v>
      </c>
      <c r="G982" s="5" t="s">
        <v>13</v>
      </c>
      <c r="H982" s="10">
        <v>45506</v>
      </c>
      <c r="I982" s="30">
        <v>0.22916666666666666</v>
      </c>
      <c r="J982" s="5" t="s">
        <v>14</v>
      </c>
      <c r="K982" s="22"/>
    </row>
    <row r="983" spans="2:11">
      <c r="B983" s="4" t="s">
        <v>156</v>
      </c>
      <c r="C983" s="5">
        <f>IF(B983&lt;&gt;"",VLOOKUP(B983,Projetos!E:F,2,0),"")</f>
        <v>3</v>
      </c>
      <c r="D983" s="5"/>
      <c r="E983" s="4" t="s">
        <v>49</v>
      </c>
      <c r="F983" s="69" t="s">
        <v>350</v>
      </c>
      <c r="G983" s="5" t="s">
        <v>13</v>
      </c>
      <c r="H983" s="10">
        <v>45509</v>
      </c>
      <c r="I983" s="30">
        <v>0.22916666666666666</v>
      </c>
      <c r="J983" s="5" t="s">
        <v>14</v>
      </c>
      <c r="K983" s="22"/>
    </row>
    <row r="984" spans="2:11">
      <c r="B984" s="4" t="s">
        <v>192</v>
      </c>
      <c r="C984" s="5">
        <f>IF(B984&lt;&gt;"",VLOOKUP(B984,Projetos!E:F,2,0),"")</f>
        <v>32</v>
      </c>
      <c r="D984" s="5"/>
      <c r="E984" s="4" t="s">
        <v>193</v>
      </c>
      <c r="F984" s="69" t="s">
        <v>474</v>
      </c>
      <c r="G984" s="5" t="s">
        <v>64</v>
      </c>
      <c r="H984" s="10">
        <v>45509</v>
      </c>
      <c r="I984" s="30">
        <v>4.1666666666666664E-2</v>
      </c>
      <c r="J984" s="5" t="s">
        <v>14</v>
      </c>
      <c r="K984" s="22"/>
    </row>
    <row r="985" spans="2:11">
      <c r="B985" s="4" t="s">
        <v>136</v>
      </c>
      <c r="C985" s="5">
        <f>IF(B985&lt;&gt;"",VLOOKUP(B985,Projetos!E:F,2,0),"")</f>
        <v>25</v>
      </c>
      <c r="D985" s="5"/>
      <c r="E985" s="4" t="s">
        <v>49</v>
      </c>
      <c r="F985" s="69" t="s">
        <v>475</v>
      </c>
      <c r="G985" s="5" t="s">
        <v>64</v>
      </c>
      <c r="H985" s="10">
        <v>45509</v>
      </c>
      <c r="I985" s="21">
        <v>0.20833333333333334</v>
      </c>
      <c r="J985" s="5" t="s">
        <v>14</v>
      </c>
      <c r="K985" s="22"/>
    </row>
    <row r="986" spans="2:11">
      <c r="B986" s="4" t="s">
        <v>156</v>
      </c>
      <c r="C986" s="5">
        <f>IF(B986&lt;&gt;"",VLOOKUP(B986,Projetos!E:F,2,0),"")</f>
        <v>3</v>
      </c>
      <c r="D986" s="5"/>
      <c r="E986" s="4" t="s">
        <v>49</v>
      </c>
      <c r="F986" s="69" t="s">
        <v>350</v>
      </c>
      <c r="G986" s="5" t="s">
        <v>13</v>
      </c>
      <c r="H986" s="10">
        <v>45510</v>
      </c>
      <c r="I986" s="21">
        <v>0.22916666666666666</v>
      </c>
      <c r="J986" s="5" t="s">
        <v>14</v>
      </c>
      <c r="K986" s="22"/>
    </row>
    <row r="987" spans="2:11" ht="30">
      <c r="B987" s="4" t="s">
        <v>140</v>
      </c>
      <c r="C987" s="5">
        <f>IF(B987&lt;&gt;"",VLOOKUP(B987,Projetos!E:F,2,0),"")</f>
        <v>39</v>
      </c>
      <c r="D987" s="5"/>
      <c r="E987" s="4" t="s">
        <v>16</v>
      </c>
      <c r="F987" s="69" t="s">
        <v>476</v>
      </c>
      <c r="G987" s="5" t="s">
        <v>19</v>
      </c>
      <c r="H987" s="10">
        <v>45456</v>
      </c>
      <c r="I987" s="21">
        <v>8.3333333333333329E-2</v>
      </c>
      <c r="J987" s="5" t="s">
        <v>14</v>
      </c>
      <c r="K987" s="22"/>
    </row>
    <row r="988" spans="2:11">
      <c r="B988" s="4" t="s">
        <v>140</v>
      </c>
      <c r="C988" s="5">
        <f>IF(B988&lt;&gt;"",VLOOKUP(B988,Projetos!E:F,2,0),"")</f>
        <v>39</v>
      </c>
      <c r="D988" s="5"/>
      <c r="E988" s="4" t="s">
        <v>21</v>
      </c>
      <c r="F988" s="69" t="s">
        <v>477</v>
      </c>
      <c r="G988" s="5" t="s">
        <v>19</v>
      </c>
      <c r="H988" s="10">
        <v>45460</v>
      </c>
      <c r="I988" s="21">
        <v>0.125</v>
      </c>
      <c r="J988" s="5" t="s">
        <v>14</v>
      </c>
      <c r="K988" s="22"/>
    </row>
    <row r="989" spans="2:11">
      <c r="B989" s="4" t="s">
        <v>140</v>
      </c>
      <c r="C989" s="5">
        <f>IF(B989&lt;&gt;"",VLOOKUP(B989,Projetos!E:F,2,0),"")</f>
        <v>39</v>
      </c>
      <c r="D989" s="5"/>
      <c r="E989" s="4" t="s">
        <v>21</v>
      </c>
      <c r="F989" s="69" t="s">
        <v>478</v>
      </c>
      <c r="G989" s="5" t="s">
        <v>19</v>
      </c>
      <c r="H989" s="10">
        <v>45477</v>
      </c>
      <c r="I989" s="21">
        <v>0.33333333333333331</v>
      </c>
      <c r="J989" s="5" t="s">
        <v>14</v>
      </c>
      <c r="K989" s="22"/>
    </row>
    <row r="990" spans="2:11">
      <c r="B990" s="4" t="s">
        <v>140</v>
      </c>
      <c r="C990" s="5">
        <f>IF(B990&lt;&gt;"",VLOOKUP(B990,Projetos!E:F,2,0),"")</f>
        <v>39</v>
      </c>
      <c r="D990" s="5"/>
      <c r="E990" s="4" t="s">
        <v>21</v>
      </c>
      <c r="F990" s="69" t="s">
        <v>479</v>
      </c>
      <c r="G990" s="5" t="s">
        <v>19</v>
      </c>
      <c r="H990" s="10">
        <v>45483</v>
      </c>
      <c r="I990" s="21">
        <v>0.16666666666666666</v>
      </c>
      <c r="J990" s="5" t="s">
        <v>14</v>
      </c>
      <c r="K990" s="22"/>
    </row>
    <row r="991" spans="2:11">
      <c r="B991" s="4" t="s">
        <v>140</v>
      </c>
      <c r="C991" s="5">
        <f>IF(B991&lt;&gt;"",VLOOKUP(B991,Projetos!E:F,2,0),"")</f>
        <v>39</v>
      </c>
      <c r="D991" s="5"/>
      <c r="E991" s="4" t="s">
        <v>21</v>
      </c>
      <c r="F991" s="69" t="s">
        <v>480</v>
      </c>
      <c r="G991" s="5" t="s">
        <v>19</v>
      </c>
      <c r="H991" s="10">
        <v>45484</v>
      </c>
      <c r="I991" s="21">
        <v>8.3333333333333329E-2</v>
      </c>
      <c r="J991" s="5" t="s">
        <v>14</v>
      </c>
      <c r="K991" s="22"/>
    </row>
    <row r="992" spans="2:11">
      <c r="B992" s="4" t="s">
        <v>140</v>
      </c>
      <c r="C992" s="5">
        <f>IF(B992&lt;&gt;"",VLOOKUP(B992,Projetos!E:F,2,0),"")</f>
        <v>39</v>
      </c>
      <c r="D992" s="5"/>
      <c r="E992" s="4" t="s">
        <v>21</v>
      </c>
      <c r="F992" s="69" t="s">
        <v>481</v>
      </c>
      <c r="G992" s="5" t="s">
        <v>19</v>
      </c>
      <c r="H992" s="10">
        <v>45489</v>
      </c>
      <c r="I992" s="21">
        <v>8.3333333333333329E-2</v>
      </c>
      <c r="J992" s="5" t="s">
        <v>14</v>
      </c>
      <c r="K992" s="22"/>
    </row>
    <row r="993" spans="2:11">
      <c r="B993" s="4" t="s">
        <v>140</v>
      </c>
      <c r="C993" s="5">
        <f>IF(B993&lt;&gt;"",VLOOKUP(B993,Projetos!E:F,2,0),"")</f>
        <v>39</v>
      </c>
      <c r="D993" s="5"/>
      <c r="E993" s="4" t="s">
        <v>23</v>
      </c>
      <c r="F993" s="69" t="s">
        <v>482</v>
      </c>
      <c r="G993" s="5" t="s">
        <v>19</v>
      </c>
      <c r="H993" s="10">
        <v>45495</v>
      </c>
      <c r="I993" s="21">
        <v>0.25</v>
      </c>
      <c r="J993" s="5" t="s">
        <v>14</v>
      </c>
      <c r="K993" s="22"/>
    </row>
    <row r="994" spans="2:11">
      <c r="B994" s="4" t="s">
        <v>192</v>
      </c>
      <c r="C994" s="5">
        <f>IF(B994&lt;&gt;"",VLOOKUP(B994,Projetos!E:F,2,0),"")</f>
        <v>32</v>
      </c>
      <c r="D994" s="5"/>
      <c r="E994" s="4" t="s">
        <v>40</v>
      </c>
      <c r="F994" s="69" t="s">
        <v>436</v>
      </c>
      <c r="G994" s="5" t="s">
        <v>66</v>
      </c>
      <c r="H994" s="10">
        <v>45509</v>
      </c>
      <c r="I994" s="21">
        <v>8.3333333333333329E-2</v>
      </c>
      <c r="J994" s="5" t="s">
        <v>14</v>
      </c>
      <c r="K994" s="22"/>
    </row>
    <row r="995" spans="2:11">
      <c r="B995" s="4" t="s">
        <v>128</v>
      </c>
      <c r="C995" s="5">
        <f>IF(B995&lt;&gt;"",VLOOKUP(B995,Projetos!E:F,2,0),"")</f>
        <v>23</v>
      </c>
      <c r="D995" s="5"/>
      <c r="E995" s="4" t="s">
        <v>16</v>
      </c>
      <c r="F995" s="69" t="s">
        <v>460</v>
      </c>
      <c r="G995" s="5" t="s">
        <v>42</v>
      </c>
      <c r="H995" s="10">
        <v>45509</v>
      </c>
      <c r="I995" s="21">
        <v>4.1666666666666664E-2</v>
      </c>
      <c r="J995" s="5" t="s">
        <v>14</v>
      </c>
      <c r="K995" s="22"/>
    </row>
    <row r="996" spans="2:11">
      <c r="B996" s="4" t="s">
        <v>140</v>
      </c>
      <c r="C996" s="5">
        <f>IF(B996&lt;&gt;"",VLOOKUP(B996,Projetos!E:F,2,0),"")</f>
        <v>39</v>
      </c>
      <c r="D996" s="5"/>
      <c r="E996" s="4" t="s">
        <v>26</v>
      </c>
      <c r="F996" s="69" t="s">
        <v>483</v>
      </c>
      <c r="G996" s="5" t="s">
        <v>28</v>
      </c>
      <c r="H996" s="10">
        <v>45511</v>
      </c>
      <c r="I996" s="21">
        <v>0.20833333333333334</v>
      </c>
      <c r="J996" s="5" t="s">
        <v>14</v>
      </c>
      <c r="K996" s="22"/>
    </row>
    <row r="997" spans="2:11">
      <c r="B997" s="4" t="s">
        <v>138</v>
      </c>
      <c r="C997" s="5">
        <f>IF(B997&lt;&gt;"",VLOOKUP(B997,Projetos!E:F,2,0),"")</f>
        <v>30</v>
      </c>
      <c r="D997" s="5"/>
      <c r="E997" s="4" t="s">
        <v>16</v>
      </c>
      <c r="F997" s="69" t="s">
        <v>463</v>
      </c>
      <c r="G997" s="5" t="s">
        <v>42</v>
      </c>
      <c r="H997" s="10">
        <v>45509</v>
      </c>
      <c r="I997" s="21">
        <v>0.125</v>
      </c>
      <c r="J997" s="5" t="s">
        <v>14</v>
      </c>
      <c r="K997" s="22"/>
    </row>
    <row r="998" spans="2:11" ht="14.25" customHeight="1">
      <c r="B998" s="4" t="s">
        <v>138</v>
      </c>
      <c r="C998" s="5">
        <f>IF(B998&lt;&gt;"",VLOOKUP(B998,Projetos!E:F,2,0),"")</f>
        <v>30</v>
      </c>
      <c r="D998" s="5"/>
      <c r="E998" s="4" t="s">
        <v>26</v>
      </c>
      <c r="F998" s="69" t="s">
        <v>484</v>
      </c>
      <c r="G998" s="5" t="s">
        <v>34</v>
      </c>
      <c r="H998" s="10">
        <v>45510</v>
      </c>
      <c r="I998" s="21">
        <v>0.125</v>
      </c>
      <c r="J998" s="5" t="s">
        <v>14</v>
      </c>
      <c r="K998" s="22"/>
    </row>
    <row r="999" spans="2:11">
      <c r="B999" s="4" t="s">
        <v>138</v>
      </c>
      <c r="C999" s="5">
        <f>IF(B999&lt;&gt;"",VLOOKUP(B999,Projetos!E:F,2,0),"")</f>
        <v>30</v>
      </c>
      <c r="D999" s="5"/>
      <c r="E999" s="4" t="s">
        <v>26</v>
      </c>
      <c r="F999" s="69" t="s">
        <v>485</v>
      </c>
      <c r="G999" s="5" t="s">
        <v>34</v>
      </c>
      <c r="H999" s="10">
        <v>45510</v>
      </c>
      <c r="I999" s="21">
        <v>4.1666666666666664E-2</v>
      </c>
      <c r="J999" s="5" t="s">
        <v>14</v>
      </c>
      <c r="K999" s="22"/>
    </row>
    <row r="1000" spans="2:11" ht="45">
      <c r="B1000" s="4" t="s">
        <v>138</v>
      </c>
      <c r="C1000" s="5">
        <f>IF(B1000&lt;&gt;"",VLOOKUP(B1000,Projetos!E:F,2,0),"")</f>
        <v>30</v>
      </c>
      <c r="D1000" s="5"/>
      <c r="E1000" s="80" t="s">
        <v>26</v>
      </c>
      <c r="F1000" s="72" t="s">
        <v>486</v>
      </c>
      <c r="G1000" s="5" t="s">
        <v>34</v>
      </c>
      <c r="H1000" s="10">
        <v>45510</v>
      </c>
      <c r="I1000" s="21">
        <v>8.3333333333333329E-2</v>
      </c>
      <c r="J1000" s="5" t="s">
        <v>14</v>
      </c>
      <c r="K1000" s="22"/>
    </row>
    <row r="1001" spans="2:11">
      <c r="B1001" s="4" t="s">
        <v>128</v>
      </c>
      <c r="C1001" s="5">
        <f>IF(B1001&lt;&gt;"",VLOOKUP(B1001,Projetos!E:F,2,0),"")</f>
        <v>23</v>
      </c>
      <c r="D1001" s="5"/>
      <c r="E1001" s="4" t="s">
        <v>49</v>
      </c>
      <c r="F1001" s="69" t="s">
        <v>487</v>
      </c>
      <c r="G1001" s="5" t="s">
        <v>20</v>
      </c>
      <c r="H1001" s="10">
        <v>45510</v>
      </c>
      <c r="I1001" s="21">
        <v>0.25</v>
      </c>
      <c r="J1001" s="5" t="s">
        <v>14</v>
      </c>
      <c r="K1001" s="22"/>
    </row>
    <row r="1002" spans="2:11" ht="30">
      <c r="B1002" s="4" t="s">
        <v>488</v>
      </c>
      <c r="C1002" s="5">
        <f>IF(B1002&lt;&gt;"",VLOOKUP(B1002,Projetos!E:F,2,0),"")</f>
        <v>50</v>
      </c>
      <c r="D1002" s="5"/>
      <c r="E1002" s="4" t="s">
        <v>31</v>
      </c>
      <c r="F1002" s="69" t="s">
        <v>489</v>
      </c>
      <c r="G1002" s="5" t="s">
        <v>34</v>
      </c>
      <c r="H1002" s="10">
        <v>45511</v>
      </c>
      <c r="I1002" s="21">
        <v>4.1666666666666664E-2</v>
      </c>
      <c r="J1002" s="5" t="s">
        <v>14</v>
      </c>
      <c r="K1002" s="22"/>
    </row>
    <row r="1003" spans="2:11">
      <c r="B1003" s="4" t="s">
        <v>128</v>
      </c>
      <c r="C1003" s="5">
        <f>IF(B1003&lt;&gt;"",VLOOKUP(B1003,Projetos!E:F,2,0),"")</f>
        <v>23</v>
      </c>
      <c r="D1003" s="5"/>
      <c r="E1003" s="4" t="s">
        <v>40</v>
      </c>
      <c r="F1003" s="69" t="s">
        <v>490</v>
      </c>
      <c r="G1003" s="5" t="s">
        <v>42</v>
      </c>
      <c r="H1003" s="10">
        <v>45510</v>
      </c>
      <c r="I1003" s="21">
        <v>0.25</v>
      </c>
      <c r="J1003" s="5" t="s">
        <v>14</v>
      </c>
      <c r="K1003" s="22"/>
    </row>
    <row r="1004" spans="2:11" ht="30">
      <c r="B1004" s="4" t="s">
        <v>138</v>
      </c>
      <c r="C1004" s="5">
        <f>IF(B1004&lt;&gt;"",VLOOKUP(B1004,Projetos!E:F,2,0),"")</f>
        <v>30</v>
      </c>
      <c r="D1004" s="5"/>
      <c r="E1004" s="4" t="s">
        <v>119</v>
      </c>
      <c r="F1004" s="69" t="s">
        <v>491</v>
      </c>
      <c r="G1004" s="5" t="s">
        <v>42</v>
      </c>
      <c r="H1004" s="10">
        <v>45510</v>
      </c>
      <c r="I1004" s="21">
        <v>8.3333333333333329E-2</v>
      </c>
      <c r="J1004" s="5" t="s">
        <v>14</v>
      </c>
      <c r="K1004" s="22"/>
    </row>
    <row r="1005" spans="2:11">
      <c r="B1005" s="4" t="s">
        <v>156</v>
      </c>
      <c r="C1005" s="5">
        <f>IF(B1005&lt;&gt;"",VLOOKUP(B1005,Projetos!E:F,2,0),"")</f>
        <v>3</v>
      </c>
      <c r="D1005" s="5"/>
      <c r="E1005" s="4" t="s">
        <v>40</v>
      </c>
      <c r="F1005" s="69" t="s">
        <v>492</v>
      </c>
      <c r="G1005" s="5" t="s">
        <v>66</v>
      </c>
      <c r="H1005" s="10">
        <v>45510</v>
      </c>
      <c r="I1005" s="21">
        <v>0.25</v>
      </c>
      <c r="J1005" s="5" t="s">
        <v>14</v>
      </c>
      <c r="K1005" s="22"/>
    </row>
    <row r="1006" spans="2:11" ht="30">
      <c r="B1006" s="4" t="s">
        <v>138</v>
      </c>
      <c r="C1006" s="5">
        <f>IF(B1006&lt;&gt;"",VLOOKUP(B1006,Projetos!E:F,2,0),"")</f>
        <v>30</v>
      </c>
      <c r="D1006" s="5"/>
      <c r="E1006" s="4" t="s">
        <v>49</v>
      </c>
      <c r="F1006" s="69" t="s">
        <v>493</v>
      </c>
      <c r="G1006" s="5" t="s">
        <v>13</v>
      </c>
      <c r="H1006" s="10">
        <v>45511</v>
      </c>
      <c r="I1006" s="21">
        <v>0.16666666666666666</v>
      </c>
      <c r="J1006" s="5" t="s">
        <v>14</v>
      </c>
      <c r="K1006" s="22"/>
    </row>
    <row r="1007" spans="2:11">
      <c r="B1007" s="4" t="s">
        <v>138</v>
      </c>
      <c r="C1007" s="5">
        <f>IF(B1007&lt;&gt;"",VLOOKUP(B1007,Projetos!E:F,2,0),"")</f>
        <v>30</v>
      </c>
      <c r="D1007" s="5"/>
      <c r="E1007" s="4" t="s">
        <v>26</v>
      </c>
      <c r="F1007" s="69" t="s">
        <v>494</v>
      </c>
      <c r="G1007" s="5" t="s">
        <v>34</v>
      </c>
      <c r="H1007" s="10">
        <v>45511</v>
      </c>
      <c r="I1007" s="21">
        <v>8.3333333333333329E-2</v>
      </c>
      <c r="J1007" s="5" t="s">
        <v>14</v>
      </c>
      <c r="K1007" s="22"/>
    </row>
    <row r="1008" spans="2:11" ht="30">
      <c r="B1008" s="4" t="s">
        <v>138</v>
      </c>
      <c r="C1008" s="5">
        <f>IF(B1008&lt;&gt;"",VLOOKUP(B1008,Projetos!E:F,2,0),"")</f>
        <v>30</v>
      </c>
      <c r="D1008" s="5"/>
      <c r="E1008" s="4" t="s">
        <v>26</v>
      </c>
      <c r="F1008" s="69" t="s">
        <v>495</v>
      </c>
      <c r="G1008" s="5" t="s">
        <v>34</v>
      </c>
      <c r="H1008" s="10">
        <v>45511</v>
      </c>
      <c r="I1008" s="21">
        <v>4.1666666666666664E-2</v>
      </c>
      <c r="J1008" s="5" t="s">
        <v>14</v>
      </c>
      <c r="K1008" s="22"/>
    </row>
    <row r="1009" spans="2:11">
      <c r="B1009" s="4" t="s">
        <v>496</v>
      </c>
      <c r="C1009" s="5">
        <f>IF(B1009&lt;&gt;"",VLOOKUP(B1009,Projetos!E:F,2,0),"")</f>
        <v>51</v>
      </c>
      <c r="D1009" s="5"/>
      <c r="E1009" s="4" t="s">
        <v>11</v>
      </c>
      <c r="F1009" s="69" t="s">
        <v>497</v>
      </c>
      <c r="G1009" s="5" t="s">
        <v>64</v>
      </c>
      <c r="H1009" s="10">
        <v>45511</v>
      </c>
      <c r="I1009" s="21">
        <v>0.25</v>
      </c>
      <c r="J1009" s="5" t="s">
        <v>14</v>
      </c>
      <c r="K1009" s="22" t="s">
        <v>498</v>
      </c>
    </row>
    <row r="1010" spans="2:11">
      <c r="B1010" s="4" t="s">
        <v>496</v>
      </c>
      <c r="C1010" s="5">
        <f>IF(B1010&lt;&gt;"",VLOOKUP(B1010,Projetos!E:F,2,0),"")</f>
        <v>51</v>
      </c>
      <c r="D1010" s="5"/>
      <c r="E1010" s="4" t="s">
        <v>11</v>
      </c>
      <c r="F1010" s="69" t="s">
        <v>497</v>
      </c>
      <c r="G1010" s="5" t="s">
        <v>19</v>
      </c>
      <c r="H1010" s="10">
        <v>45511</v>
      </c>
      <c r="I1010" s="21">
        <v>0.125</v>
      </c>
      <c r="J1010" s="5" t="s">
        <v>14</v>
      </c>
      <c r="K1010" s="22"/>
    </row>
    <row r="1011" spans="2:11">
      <c r="B1011" s="4" t="s">
        <v>496</v>
      </c>
      <c r="C1011" s="5">
        <f>IF(B1011&lt;&gt;"",VLOOKUP(B1011,Projetos!E:F,2,0),"")</f>
        <v>51</v>
      </c>
      <c r="D1011" s="5"/>
      <c r="E1011" s="4" t="s">
        <v>11</v>
      </c>
      <c r="F1011" s="69" t="s">
        <v>478</v>
      </c>
      <c r="G1011" s="5" t="s">
        <v>19</v>
      </c>
      <c r="H1011" s="10">
        <v>45511</v>
      </c>
      <c r="I1011" s="21">
        <v>0.125</v>
      </c>
      <c r="J1011" s="5" t="s">
        <v>14</v>
      </c>
      <c r="K1011" s="22"/>
    </row>
    <row r="1012" spans="2:11">
      <c r="B1012" s="4" t="s">
        <v>156</v>
      </c>
      <c r="C1012" s="5">
        <f>IF(B1012&lt;&gt;"",VLOOKUP(B1012,Projetos!E:F,2,0),"")</f>
        <v>3</v>
      </c>
      <c r="D1012" s="5"/>
      <c r="E1012" s="4" t="s">
        <v>40</v>
      </c>
      <c r="F1012" s="69" t="s">
        <v>499</v>
      </c>
      <c r="G1012" s="5" t="s">
        <v>66</v>
      </c>
      <c r="H1012" s="10">
        <v>45511</v>
      </c>
      <c r="I1012" s="21">
        <v>0.25</v>
      </c>
      <c r="J1012" s="5" t="s">
        <v>14</v>
      </c>
      <c r="K1012" s="22"/>
    </row>
    <row r="1013" spans="2:11">
      <c r="B1013" s="4" t="s">
        <v>192</v>
      </c>
      <c r="C1013" s="5">
        <f>IF(B1013&lt;&gt;"",VLOOKUP(B1013,Projetos!E:F,2,0),"")</f>
        <v>32</v>
      </c>
      <c r="D1013" s="5"/>
      <c r="E1013" s="4" t="s">
        <v>193</v>
      </c>
      <c r="F1013" s="69" t="s">
        <v>500</v>
      </c>
      <c r="G1013" s="5" t="s">
        <v>34</v>
      </c>
      <c r="H1013" s="10">
        <v>45511</v>
      </c>
      <c r="I1013" s="21">
        <v>8.3333333333333329E-2</v>
      </c>
      <c r="J1013" s="5" t="s">
        <v>14</v>
      </c>
      <c r="K1013" s="22"/>
    </row>
    <row r="1014" spans="2:11">
      <c r="B1014" s="4" t="s">
        <v>496</v>
      </c>
      <c r="C1014" s="5">
        <f>IF(B1014&lt;&gt;"",VLOOKUP(B1014,Projetos!E:F,2,0),"")</f>
        <v>51</v>
      </c>
      <c r="D1014" s="5"/>
      <c r="E1014" s="4" t="s">
        <v>26</v>
      </c>
      <c r="F1014" s="69" t="s">
        <v>501</v>
      </c>
      <c r="G1014" s="5" t="s">
        <v>34</v>
      </c>
      <c r="H1014" s="10">
        <v>45511</v>
      </c>
      <c r="I1014" s="21">
        <v>8.3333333333333329E-2</v>
      </c>
      <c r="J1014" s="5" t="s">
        <v>14</v>
      </c>
      <c r="K1014" s="22"/>
    </row>
    <row r="1015" spans="2:11">
      <c r="B1015" s="4" t="s">
        <v>128</v>
      </c>
      <c r="C1015" s="5">
        <f>IF(B1015&lt;&gt;"",VLOOKUP(B1015,Projetos!E:F,2,0),"")</f>
        <v>23</v>
      </c>
      <c r="D1015" s="5"/>
      <c r="E1015" s="4" t="s">
        <v>49</v>
      </c>
      <c r="F1015" s="69" t="s">
        <v>502</v>
      </c>
      <c r="G1015" s="5" t="s">
        <v>42</v>
      </c>
      <c r="H1015" s="10">
        <v>45511</v>
      </c>
      <c r="I1015" s="21">
        <v>0.33333333333333331</v>
      </c>
      <c r="J1015" s="5" t="s">
        <v>14</v>
      </c>
      <c r="K1015" s="22"/>
    </row>
    <row r="1016" spans="2:11">
      <c r="B1016" s="4" t="s">
        <v>128</v>
      </c>
      <c r="C1016" s="5">
        <f>IF(B1016&lt;&gt;"",VLOOKUP(B1016,Projetos!E:F,2,0),"")</f>
        <v>23</v>
      </c>
      <c r="D1016" s="5"/>
      <c r="E1016" s="4" t="s">
        <v>49</v>
      </c>
      <c r="F1016" s="69" t="s">
        <v>503</v>
      </c>
      <c r="G1016" s="5" t="s">
        <v>20</v>
      </c>
      <c r="H1016" s="10">
        <v>45511</v>
      </c>
      <c r="I1016" s="21">
        <v>0.125</v>
      </c>
      <c r="J1016" s="5" t="s">
        <v>14</v>
      </c>
      <c r="K1016" s="22"/>
    </row>
    <row r="1017" spans="2:11">
      <c r="B1017" s="4" t="s">
        <v>138</v>
      </c>
      <c r="C1017" s="5">
        <f>IF(B1017&lt;&gt;"",VLOOKUP(B1017,Projetos!E:F,2,0),"")</f>
        <v>30</v>
      </c>
      <c r="D1017" s="5"/>
      <c r="E1017" s="4" t="s">
        <v>153</v>
      </c>
      <c r="F1017" s="69" t="s">
        <v>504</v>
      </c>
      <c r="G1017" s="5" t="s">
        <v>20</v>
      </c>
      <c r="H1017" s="10">
        <v>45511</v>
      </c>
      <c r="I1017" s="21">
        <v>0.25</v>
      </c>
      <c r="J1017" s="5" t="s">
        <v>14</v>
      </c>
      <c r="K1017" s="22"/>
    </row>
    <row r="1018" spans="2:11">
      <c r="B1018" s="4" t="s">
        <v>138</v>
      </c>
      <c r="C1018" s="5">
        <f>IF(B1018&lt;&gt;"",VLOOKUP(B1018,Projetos!E:F,2,0),"")</f>
        <v>30</v>
      </c>
      <c r="D1018" s="5"/>
      <c r="E1018" s="4" t="s">
        <v>16</v>
      </c>
      <c r="F1018" s="69" t="s">
        <v>505</v>
      </c>
      <c r="G1018" s="5" t="s">
        <v>20</v>
      </c>
      <c r="H1018" s="10">
        <v>45511</v>
      </c>
      <c r="I1018" s="21">
        <v>4.1666666666666664E-2</v>
      </c>
      <c r="J1018" s="5" t="s">
        <v>14</v>
      </c>
      <c r="K1018" s="22"/>
    </row>
    <row r="1019" spans="2:11" ht="30">
      <c r="B1019" s="4" t="s">
        <v>128</v>
      </c>
      <c r="C1019" s="5">
        <f>IF(B1019&lt;&gt;"",VLOOKUP(B1019,Projetos!E:F,2,0),"")</f>
        <v>23</v>
      </c>
      <c r="D1019" s="5"/>
      <c r="E1019" s="4" t="s">
        <v>16</v>
      </c>
      <c r="F1019" s="69" t="s">
        <v>506</v>
      </c>
      <c r="G1019" s="5" t="s">
        <v>28</v>
      </c>
      <c r="H1019" s="10">
        <v>45512</v>
      </c>
      <c r="I1019" s="21">
        <v>0.125</v>
      </c>
      <c r="J1019" s="5" t="s">
        <v>14</v>
      </c>
      <c r="K1019" s="22"/>
    </row>
    <row r="1020" spans="2:11" ht="30">
      <c r="B1020" s="4" t="s">
        <v>128</v>
      </c>
      <c r="C1020" s="5">
        <f>IF(B1020&lt;&gt;"",VLOOKUP(B1020,Projetos!E:F,2,0),"")</f>
        <v>23</v>
      </c>
      <c r="D1020" s="5"/>
      <c r="E1020" s="4" t="s">
        <v>16</v>
      </c>
      <c r="F1020" s="69" t="s">
        <v>506</v>
      </c>
      <c r="G1020" s="5" t="s">
        <v>42</v>
      </c>
      <c r="H1020" s="10">
        <v>45512</v>
      </c>
      <c r="I1020" s="21">
        <v>0.125</v>
      </c>
      <c r="J1020" s="5" t="s">
        <v>14</v>
      </c>
      <c r="K1020" s="22"/>
    </row>
    <row r="1021" spans="2:11" ht="30">
      <c r="B1021" s="4" t="s">
        <v>192</v>
      </c>
      <c r="C1021" s="5">
        <f>IF(B1021&lt;&gt;"",VLOOKUP(B1021,Projetos!E:F,2,0),"")</f>
        <v>32</v>
      </c>
      <c r="D1021" s="5"/>
      <c r="E1021" s="4" t="s">
        <v>193</v>
      </c>
      <c r="F1021" s="69" t="s">
        <v>507</v>
      </c>
      <c r="G1021" s="5" t="s">
        <v>34</v>
      </c>
      <c r="H1021" s="10">
        <v>45512</v>
      </c>
      <c r="I1021" s="21">
        <v>8.3333333333333329E-2</v>
      </c>
      <c r="J1021" s="5" t="s">
        <v>14</v>
      </c>
      <c r="K1021" s="22"/>
    </row>
    <row r="1022" spans="2:11">
      <c r="B1022" s="4" t="s">
        <v>192</v>
      </c>
      <c r="C1022" s="5">
        <f>IF(B1022&lt;&gt;"",VLOOKUP(B1022,Projetos!E:F,2,0),"")</f>
        <v>32</v>
      </c>
      <c r="D1022" s="5"/>
      <c r="E1022" s="4" t="s">
        <v>193</v>
      </c>
      <c r="F1022" s="69" t="s">
        <v>508</v>
      </c>
      <c r="G1022" s="5" t="s">
        <v>64</v>
      </c>
      <c r="H1022" s="10">
        <v>45511</v>
      </c>
      <c r="I1022" s="21">
        <v>8.3333333333333329E-2</v>
      </c>
      <c r="J1022" s="5" t="s">
        <v>14</v>
      </c>
      <c r="K1022" s="22"/>
    </row>
    <row r="1023" spans="2:11" ht="30">
      <c r="B1023" s="4" t="s">
        <v>138</v>
      </c>
      <c r="C1023" s="5">
        <f>IF(B1023&lt;&gt;"",VLOOKUP(B1023,Projetos!E:F,2,0),"")</f>
        <v>30</v>
      </c>
      <c r="D1023" s="5"/>
      <c r="E1023" s="4" t="s">
        <v>26</v>
      </c>
      <c r="F1023" s="69" t="s">
        <v>509</v>
      </c>
      <c r="G1023" s="5" t="s">
        <v>34</v>
      </c>
      <c r="H1023" s="10">
        <v>45512</v>
      </c>
      <c r="I1023" s="21">
        <v>8.3333333333333329E-2</v>
      </c>
      <c r="J1023" s="5" t="s">
        <v>14</v>
      </c>
      <c r="K1023" s="22"/>
    </row>
    <row r="1024" spans="2:11">
      <c r="B1024" s="4" t="s">
        <v>138</v>
      </c>
      <c r="C1024" s="5">
        <f>IF(B1024&lt;&gt;"",VLOOKUP(B1024,Projetos!E:F,2,0),"")</f>
        <v>30</v>
      </c>
      <c r="D1024" s="5"/>
      <c r="E1024" s="4" t="s">
        <v>31</v>
      </c>
      <c r="F1024" s="69" t="s">
        <v>510</v>
      </c>
      <c r="G1024" s="5" t="s">
        <v>34</v>
      </c>
      <c r="H1024" s="10">
        <v>45512</v>
      </c>
      <c r="I1024" s="21">
        <v>4.1666666666666664E-2</v>
      </c>
      <c r="J1024" s="5" t="s">
        <v>14</v>
      </c>
      <c r="K1024" s="22"/>
    </row>
    <row r="1025" spans="2:11">
      <c r="B1025" s="4" t="s">
        <v>138</v>
      </c>
      <c r="C1025" s="5">
        <f>IF(B1025&lt;&gt;"",VLOOKUP(B1025,Projetos!E:F,2,0),"")</f>
        <v>30</v>
      </c>
      <c r="D1025" s="5"/>
      <c r="E1025" s="4" t="s">
        <v>26</v>
      </c>
      <c r="F1025" s="69" t="s">
        <v>511</v>
      </c>
      <c r="G1025" s="5" t="s">
        <v>34</v>
      </c>
      <c r="H1025" s="10">
        <v>45512</v>
      </c>
      <c r="I1025" s="21">
        <v>8.3333333333333329E-2</v>
      </c>
      <c r="J1025" s="5" t="s">
        <v>14</v>
      </c>
      <c r="K1025" s="22"/>
    </row>
    <row r="1026" spans="2:11">
      <c r="B1026" s="4" t="s">
        <v>140</v>
      </c>
      <c r="C1026" s="5">
        <f>IF(B1026&lt;&gt;"",VLOOKUP(B1026,Projetos!E:F,2,0),"")</f>
        <v>39</v>
      </c>
      <c r="D1026" s="5"/>
      <c r="E1026" s="4" t="s">
        <v>49</v>
      </c>
      <c r="F1026" s="69" t="s">
        <v>512</v>
      </c>
      <c r="G1026" s="5" t="s">
        <v>28</v>
      </c>
      <c r="H1026" s="10">
        <v>45512</v>
      </c>
      <c r="I1026" s="21">
        <v>0.20833333333333334</v>
      </c>
      <c r="J1026" s="5" t="s">
        <v>14</v>
      </c>
      <c r="K1026" s="22"/>
    </row>
    <row r="1027" spans="2:11">
      <c r="B1027" s="4" t="s">
        <v>128</v>
      </c>
      <c r="C1027" s="5">
        <f>IF(B1027&lt;&gt;"",VLOOKUP(B1027,Projetos!E:F,2,0),"")</f>
        <v>23</v>
      </c>
      <c r="D1027" s="5"/>
      <c r="E1027" s="4" t="s">
        <v>31</v>
      </c>
      <c r="F1027" s="69" t="s">
        <v>513</v>
      </c>
      <c r="G1027" s="5" t="s">
        <v>28</v>
      </c>
      <c r="H1027" s="10">
        <v>45512</v>
      </c>
      <c r="I1027" s="21">
        <v>8.3333333333333329E-2</v>
      </c>
      <c r="J1027" s="5" t="s">
        <v>14</v>
      </c>
      <c r="K1027" s="22"/>
    </row>
    <row r="1028" spans="2:11" ht="30">
      <c r="B1028" s="4" t="s">
        <v>128</v>
      </c>
      <c r="C1028" s="5">
        <f>IF(B1028&lt;&gt;"",VLOOKUP(B1028,Projetos!E:F,2,0),"")</f>
        <v>23</v>
      </c>
      <c r="D1028" s="5"/>
      <c r="E1028" s="4" t="s">
        <v>40</v>
      </c>
      <c r="F1028" s="69" t="s">
        <v>514</v>
      </c>
      <c r="G1028" s="5" t="s">
        <v>42</v>
      </c>
      <c r="H1028" s="10">
        <v>45512</v>
      </c>
      <c r="I1028" s="21">
        <v>0.20833333333333334</v>
      </c>
      <c r="J1028" s="5" t="s">
        <v>14</v>
      </c>
      <c r="K1028" s="22"/>
    </row>
    <row r="1029" spans="2:11">
      <c r="B1029" s="4" t="s">
        <v>496</v>
      </c>
      <c r="C1029" s="5">
        <f>IF(B1029&lt;&gt;"",VLOOKUP(B1029,Projetos!E:F,2,0),"")</f>
        <v>51</v>
      </c>
      <c r="D1029" s="5"/>
      <c r="E1029" s="4" t="s">
        <v>21</v>
      </c>
      <c r="F1029" s="72" t="s">
        <v>515</v>
      </c>
      <c r="G1029" s="5" t="s">
        <v>19</v>
      </c>
      <c r="H1029" s="10">
        <v>45511</v>
      </c>
      <c r="I1029" s="21">
        <v>0.29166666666666669</v>
      </c>
      <c r="J1029" s="5" t="s">
        <v>14</v>
      </c>
      <c r="K1029" s="22"/>
    </row>
    <row r="1030" spans="2:11">
      <c r="B1030" s="4" t="s">
        <v>496</v>
      </c>
      <c r="C1030" s="5">
        <f>IF(B1030&lt;&gt;"",VLOOKUP(B1030,Projetos!E:F,2,0),"")</f>
        <v>51</v>
      </c>
      <c r="D1030" s="5"/>
      <c r="E1030" s="4" t="s">
        <v>21</v>
      </c>
      <c r="F1030" s="69" t="s">
        <v>516</v>
      </c>
      <c r="G1030" s="5" t="s">
        <v>19</v>
      </c>
      <c r="H1030" s="45">
        <v>45512</v>
      </c>
      <c r="I1030" s="55">
        <v>0.29166666666666669</v>
      </c>
      <c r="J1030" s="44" t="s">
        <v>14</v>
      </c>
      <c r="K1030" s="22"/>
    </row>
    <row r="1031" spans="2:11" ht="30">
      <c r="B1031" s="4" t="s">
        <v>138</v>
      </c>
      <c r="C1031" s="5">
        <f>IF(B1031&lt;&gt;"",VLOOKUP(B1031,Projetos!E:F,2,0),"")</f>
        <v>30</v>
      </c>
      <c r="D1031" s="5"/>
      <c r="E1031" s="4" t="s">
        <v>26</v>
      </c>
      <c r="F1031" s="69" t="s">
        <v>517</v>
      </c>
      <c r="G1031" s="28" t="s">
        <v>34</v>
      </c>
      <c r="H1031" s="61">
        <v>45513</v>
      </c>
      <c r="I1031" s="43">
        <v>0.16666666666666666</v>
      </c>
      <c r="J1031" s="63" t="s">
        <v>14</v>
      </c>
      <c r="K1031" s="54"/>
    </row>
    <row r="1032" spans="2:11">
      <c r="B1032" s="4" t="s">
        <v>156</v>
      </c>
      <c r="C1032" s="5">
        <f>IF(B1032&lt;&gt;"",VLOOKUP(B1032,Projetos!E:F,2,0),"")</f>
        <v>3</v>
      </c>
      <c r="D1032" s="5"/>
      <c r="E1032" s="4" t="s">
        <v>40</v>
      </c>
      <c r="F1032" s="69" t="s">
        <v>518</v>
      </c>
      <c r="G1032" s="28" t="s">
        <v>66</v>
      </c>
      <c r="H1032" s="62">
        <v>45512</v>
      </c>
      <c r="I1032" s="43">
        <v>0.25</v>
      </c>
      <c r="J1032" s="64" t="s">
        <v>14</v>
      </c>
      <c r="K1032" s="22"/>
    </row>
    <row r="1033" spans="2:11">
      <c r="B1033" s="4" t="s">
        <v>156</v>
      </c>
      <c r="C1033" s="5">
        <f>IF(B1033&lt;&gt;"",VLOOKUP(B1033,Projetos!E:F,2,0),"")</f>
        <v>3</v>
      </c>
      <c r="D1033" s="5"/>
      <c r="E1033" s="4" t="s">
        <v>40</v>
      </c>
      <c r="F1033" s="69" t="s">
        <v>293</v>
      </c>
      <c r="G1033" s="28" t="s">
        <v>66</v>
      </c>
      <c r="H1033" s="10">
        <v>45513</v>
      </c>
      <c r="I1033" s="56">
        <v>0.25</v>
      </c>
      <c r="J1033" s="5" t="s">
        <v>14</v>
      </c>
      <c r="K1033" s="22"/>
    </row>
    <row r="1034" spans="2:11">
      <c r="B1034" s="4" t="s">
        <v>156</v>
      </c>
      <c r="C1034" s="28">
        <f>IF(B1034&lt;&gt;"",VLOOKUP(B1034,Projetos!E:F,2,0),"")</f>
        <v>3</v>
      </c>
      <c r="D1034" s="44" t="str">
        <f>IF(B1034&lt;&gt;"",VLOOKUP(B1034,Projetos!E:G,3,0))</f>
        <v>PDE_Serra_Verde</v>
      </c>
      <c r="E1034" s="67" t="s">
        <v>49</v>
      </c>
      <c r="F1034" s="69" t="s">
        <v>350</v>
      </c>
      <c r="G1034" s="5" t="s">
        <v>13</v>
      </c>
      <c r="H1034" s="10">
        <v>45512</v>
      </c>
      <c r="I1034" s="21">
        <v>0.22916666666666666</v>
      </c>
      <c r="J1034" s="5" t="s">
        <v>14</v>
      </c>
      <c r="K1034" s="22"/>
    </row>
    <row r="1035" spans="2:11">
      <c r="B1035" s="4" t="s">
        <v>156</v>
      </c>
      <c r="C1035" s="28">
        <f>IF(B1035&lt;&gt;"",VLOOKUP(B1035,Projetos!E:F,2,0),"")</f>
        <v>3</v>
      </c>
      <c r="D1035" s="44" t="str">
        <f>IF(B1035&lt;&gt;"",VLOOKUP(B1035,Projetos!E:G,3,0))</f>
        <v>PDE_Serra_Verde</v>
      </c>
      <c r="E1035" s="67" t="s">
        <v>49</v>
      </c>
      <c r="F1035" s="69" t="s">
        <v>350</v>
      </c>
      <c r="G1035" s="5" t="s">
        <v>13</v>
      </c>
      <c r="H1035" s="10">
        <v>45513</v>
      </c>
      <c r="I1035" s="21">
        <v>0.22916666666666666</v>
      </c>
      <c r="J1035" s="5" t="s">
        <v>14</v>
      </c>
      <c r="K1035" s="22"/>
    </row>
    <row r="1036" spans="2:11" ht="30">
      <c r="B1036" s="4" t="s">
        <v>33</v>
      </c>
      <c r="C1036" s="28">
        <f>IF(B1036&lt;&gt;"",VLOOKUP(B1036,Projetos!E:F,2,0),"")</f>
        <v>18</v>
      </c>
      <c r="D1036" s="44"/>
      <c r="E1036" s="67" t="s">
        <v>26</v>
      </c>
      <c r="F1036" s="69" t="s">
        <v>519</v>
      </c>
      <c r="G1036" s="28" t="s">
        <v>28</v>
      </c>
      <c r="H1036" s="10">
        <v>45513</v>
      </c>
      <c r="I1036" s="43">
        <v>0.16666666666666666</v>
      </c>
      <c r="J1036" s="5"/>
      <c r="K1036" s="22"/>
    </row>
    <row r="1037" spans="2:11">
      <c r="B1037" s="4" t="s">
        <v>138</v>
      </c>
      <c r="C1037" s="28">
        <f>IF(B1037&lt;&gt;"",VLOOKUP(B1037,Projetos!E:F,2,0),"")</f>
        <v>30</v>
      </c>
      <c r="D1037" s="44" t="str">
        <f>IF(B1037&lt;&gt;"",VLOOKUP(B1037,Projetos!E:G,3,0))</f>
        <v>Projetos_e_Atividades_Internas</v>
      </c>
      <c r="E1037" s="67" t="s">
        <v>40</v>
      </c>
      <c r="F1037" s="69" t="s">
        <v>520</v>
      </c>
      <c r="G1037" s="28" t="s">
        <v>42</v>
      </c>
      <c r="H1037" s="10">
        <v>45513</v>
      </c>
      <c r="I1037" s="43">
        <v>0.16666666666666666</v>
      </c>
      <c r="J1037" s="5" t="s">
        <v>14</v>
      </c>
      <c r="K1037" s="22"/>
    </row>
    <row r="1038" spans="2:11">
      <c r="B1038" s="4" t="s">
        <v>385</v>
      </c>
      <c r="C1038" s="28">
        <f>IF(B1038&lt;&gt;"",VLOOKUP(B1038,Projetos!E:F,2,0),"")</f>
        <v>48</v>
      </c>
      <c r="D1038" s="44" t="str">
        <f>IF(B1038&lt;&gt;"",VLOOKUP(B1038,Projetos!E:G,3,0))</f>
        <v>Painel_dos_Sindicados_Diretoria</v>
      </c>
      <c r="E1038" s="67" t="s">
        <v>40</v>
      </c>
      <c r="F1038" s="70" t="s">
        <v>521</v>
      </c>
      <c r="G1038" s="28" t="s">
        <v>42</v>
      </c>
      <c r="H1038" s="10">
        <v>45516</v>
      </c>
      <c r="I1038" s="21">
        <v>0.33333333333333331</v>
      </c>
      <c r="J1038" s="5" t="s">
        <v>14</v>
      </c>
      <c r="K1038" s="22"/>
    </row>
    <row r="1039" spans="2:11">
      <c r="B1039" s="4" t="s">
        <v>156</v>
      </c>
      <c r="C1039" s="28">
        <f>IF(B1039&lt;&gt;"",VLOOKUP(B1039,Projetos!E:F,2,0),"")</f>
        <v>3</v>
      </c>
      <c r="D1039" s="44" t="str">
        <f>IF(B1039&lt;&gt;"",VLOOKUP(B1039,Projetos!E:G,3,0))</f>
        <v>PDE_Serra_Verde</v>
      </c>
      <c r="E1039" s="106" t="s">
        <v>23</v>
      </c>
      <c r="F1039" s="71" t="s">
        <v>522</v>
      </c>
      <c r="G1039" s="107" t="s">
        <v>174</v>
      </c>
      <c r="H1039" s="10">
        <v>45505</v>
      </c>
      <c r="I1039" s="21">
        <v>0.33333333333333331</v>
      </c>
      <c r="J1039" s="5" t="s">
        <v>14</v>
      </c>
      <c r="K1039" s="5"/>
    </row>
    <row r="1040" spans="2:11">
      <c r="B1040" s="22" t="s">
        <v>138</v>
      </c>
      <c r="C1040" s="66">
        <f>IF(B1040&lt;&gt;"",VLOOKUP(B1040,Projetos!E:F,2,0),"")</f>
        <v>30</v>
      </c>
      <c r="D1040" s="44" t="str">
        <f>IF(B1040&lt;&gt;"",VLOOKUP(B1040,Projetos!E:G,3,0))</f>
        <v>Projetos_e_Atividades_Internas</v>
      </c>
      <c r="E1040" s="54" t="s">
        <v>21</v>
      </c>
      <c r="F1040" s="83" t="s">
        <v>523</v>
      </c>
      <c r="G1040" s="35" t="s">
        <v>174</v>
      </c>
      <c r="H1040" s="42">
        <v>45513</v>
      </c>
      <c r="I1040" s="59">
        <v>0.875</v>
      </c>
      <c r="J1040" s="35" t="s">
        <v>14</v>
      </c>
      <c r="K1040" s="22"/>
    </row>
    <row r="1041" spans="2:11">
      <c r="B1041" s="22" t="s">
        <v>192</v>
      </c>
      <c r="C1041" s="66">
        <f>IF(B1041&lt;&gt;"",VLOOKUP(B1041,Projetos!E:F,2,0),"")</f>
        <v>32</v>
      </c>
      <c r="D1041" s="44" t="str">
        <f>IF(B1041&lt;&gt;"",VLOOKUP(B1041,Projetos!E:G,3,0))</f>
        <v>Treinamentos_e_Capacitações</v>
      </c>
      <c r="E1041" s="54" t="s">
        <v>193</v>
      </c>
      <c r="F1041" s="71" t="s">
        <v>524</v>
      </c>
      <c r="G1041" s="35" t="s">
        <v>525</v>
      </c>
      <c r="H1041" s="42">
        <v>45516</v>
      </c>
      <c r="I1041" s="59">
        <v>0.25</v>
      </c>
      <c r="J1041" s="35" t="s">
        <v>14</v>
      </c>
      <c r="K1041" s="22"/>
    </row>
    <row r="1042" spans="2:11">
      <c r="B1042" s="22" t="s">
        <v>192</v>
      </c>
      <c r="C1042" s="66">
        <f>IF(B1042&lt;&gt;"",VLOOKUP(B1042,Projetos!E:F,2,0),"")</f>
        <v>32</v>
      </c>
      <c r="D1042" s="44" t="str">
        <f>IF(B1042&lt;&gt;"",VLOOKUP(B1042,Projetos!E:G,3,0))</f>
        <v>Treinamentos_e_Capacitações</v>
      </c>
      <c r="E1042" s="54" t="s">
        <v>193</v>
      </c>
      <c r="F1042" s="71" t="s">
        <v>524</v>
      </c>
      <c r="G1042" s="35" t="s">
        <v>525</v>
      </c>
      <c r="H1042" s="42">
        <v>45513</v>
      </c>
      <c r="I1042" s="59">
        <v>0.25</v>
      </c>
      <c r="J1042" s="35" t="s">
        <v>14</v>
      </c>
      <c r="K1042" s="22"/>
    </row>
    <row r="1043" spans="2:11">
      <c r="B1043" s="22" t="s">
        <v>192</v>
      </c>
      <c r="C1043" s="66">
        <f>IF(B1043&lt;&gt;"",VLOOKUP(B1043,Projetos!E:F,2,0),"")</f>
        <v>32</v>
      </c>
      <c r="D1043" s="44" t="str">
        <f>IF(B1043&lt;&gt;"",VLOOKUP(B1043,Projetos!E:G,3,0))</f>
        <v>Treinamentos_e_Capacitações</v>
      </c>
      <c r="E1043" s="54" t="s">
        <v>193</v>
      </c>
      <c r="F1043" s="71" t="s">
        <v>524</v>
      </c>
      <c r="G1043" s="35" t="s">
        <v>525</v>
      </c>
      <c r="H1043" s="42">
        <v>45505</v>
      </c>
      <c r="I1043" s="59">
        <v>0.25</v>
      </c>
      <c r="J1043" s="35" t="s">
        <v>14</v>
      </c>
      <c r="K1043" s="22"/>
    </row>
    <row r="1044" spans="2:11">
      <c r="B1044" s="22" t="s">
        <v>192</v>
      </c>
      <c r="C1044" s="66">
        <f>IF(B1044&lt;&gt;"",VLOOKUP(B1044,Projetos!E:F,2,0),"")</f>
        <v>32</v>
      </c>
      <c r="D1044" s="44" t="str">
        <f>IF(B1044&lt;&gt;"",VLOOKUP(B1044,Projetos!E:G,3,0))</f>
        <v>Treinamentos_e_Capacitações</v>
      </c>
      <c r="E1044" s="54" t="s">
        <v>193</v>
      </c>
      <c r="F1044" s="71" t="s">
        <v>524</v>
      </c>
      <c r="G1044" s="35" t="s">
        <v>525</v>
      </c>
      <c r="H1044" s="42">
        <v>45506</v>
      </c>
      <c r="I1044" s="59">
        <v>0.25</v>
      </c>
      <c r="J1044" s="35" t="s">
        <v>14</v>
      </c>
      <c r="K1044" s="22"/>
    </row>
    <row r="1045" spans="2:11">
      <c r="B1045" s="22" t="s">
        <v>192</v>
      </c>
      <c r="C1045" s="66">
        <f>IF(B1045&lt;&gt;"",VLOOKUP(B1045,Projetos!E:F,2,0),"")</f>
        <v>32</v>
      </c>
      <c r="D1045" s="44" t="str">
        <f>IF(B1045&lt;&gt;"",VLOOKUP(B1045,Projetos!E:G,3,0))</f>
        <v>Treinamentos_e_Capacitações</v>
      </c>
      <c r="E1045" s="54" t="s">
        <v>193</v>
      </c>
      <c r="F1045" s="71" t="s">
        <v>526</v>
      </c>
      <c r="G1045" s="35" t="s">
        <v>525</v>
      </c>
      <c r="H1045" s="42">
        <v>45509</v>
      </c>
      <c r="I1045" s="59">
        <v>0.25</v>
      </c>
      <c r="J1045" s="35" t="s">
        <v>14</v>
      </c>
      <c r="K1045" s="22"/>
    </row>
    <row r="1046" spans="2:11">
      <c r="B1046" s="22" t="s">
        <v>192</v>
      </c>
      <c r="C1046" s="66">
        <f>IF(B1046&lt;&gt;"",VLOOKUP(B1046,Projetos!E:F,2,0),"")</f>
        <v>32</v>
      </c>
      <c r="D1046" s="44" t="str">
        <f>IF(B1046&lt;&gt;"",VLOOKUP(B1046,Projetos!E:G,3,0))</f>
        <v>Treinamentos_e_Capacitações</v>
      </c>
      <c r="E1046" s="54" t="s">
        <v>193</v>
      </c>
      <c r="F1046" s="71" t="s">
        <v>526</v>
      </c>
      <c r="G1046" s="35" t="s">
        <v>525</v>
      </c>
      <c r="H1046" s="42">
        <v>45510</v>
      </c>
      <c r="I1046" s="59">
        <v>0.25</v>
      </c>
      <c r="J1046" s="35" t="s">
        <v>14</v>
      </c>
      <c r="K1046" s="22"/>
    </row>
    <row r="1047" spans="2:11">
      <c r="B1047" s="22" t="s">
        <v>192</v>
      </c>
      <c r="C1047" s="66">
        <f>IF(B1047&lt;&gt;"",VLOOKUP(B1047,Projetos!E:F,2,0),"")</f>
        <v>32</v>
      </c>
      <c r="D1047" s="44" t="str">
        <f>IF(B1047&lt;&gt;"",VLOOKUP(B1047,Projetos!E:G,3,0))</f>
        <v>Treinamentos_e_Capacitações</v>
      </c>
      <c r="E1047" s="54" t="s">
        <v>193</v>
      </c>
      <c r="F1047" s="71" t="s">
        <v>526</v>
      </c>
      <c r="G1047" s="35" t="s">
        <v>525</v>
      </c>
      <c r="H1047" s="42">
        <v>45511</v>
      </c>
      <c r="I1047" s="59">
        <v>0.25</v>
      </c>
      <c r="J1047" s="35" t="s">
        <v>14</v>
      </c>
      <c r="K1047" s="22"/>
    </row>
    <row r="1048" spans="2:11">
      <c r="B1048" s="22" t="s">
        <v>192</v>
      </c>
      <c r="C1048" s="66">
        <f>IF(B1048&lt;&gt;"",VLOOKUP(B1048,Projetos!E:F,2,0),"")</f>
        <v>32</v>
      </c>
      <c r="D1048" s="44" t="str">
        <f>IF(B1048&lt;&gt;"",VLOOKUP(B1048,Projetos!E:G,3,0))</f>
        <v>Treinamentos_e_Capacitações</v>
      </c>
      <c r="E1048" s="54" t="s">
        <v>193</v>
      </c>
      <c r="F1048" s="71" t="s">
        <v>527</v>
      </c>
      <c r="G1048" s="35" t="s">
        <v>528</v>
      </c>
      <c r="H1048" s="42">
        <v>45511</v>
      </c>
      <c r="I1048" s="59">
        <v>0.20833333333333334</v>
      </c>
      <c r="J1048" s="35" t="s">
        <v>14</v>
      </c>
      <c r="K1048" s="22"/>
    </row>
    <row r="1049" spans="2:11">
      <c r="B1049" s="22" t="s">
        <v>192</v>
      </c>
      <c r="C1049" s="66">
        <f>IF(B1049&lt;&gt;"",VLOOKUP(B1049,Projetos!E:F,2,0),"")</f>
        <v>32</v>
      </c>
      <c r="D1049" s="44" t="str">
        <f>IF(B1049&lt;&gt;"",VLOOKUP(B1049,Projetos!E:G,3,0))</f>
        <v>Treinamentos_e_Capacitações</v>
      </c>
      <c r="E1049" s="54" t="s">
        <v>193</v>
      </c>
      <c r="F1049" s="71" t="s">
        <v>526</v>
      </c>
      <c r="G1049" s="35" t="s">
        <v>525</v>
      </c>
      <c r="H1049" s="42">
        <v>45512</v>
      </c>
      <c r="I1049" s="59">
        <v>0.25</v>
      </c>
      <c r="J1049" s="35" t="s">
        <v>14</v>
      </c>
      <c r="K1049" s="22"/>
    </row>
    <row r="1050" spans="2:11">
      <c r="B1050" s="22" t="s">
        <v>192</v>
      </c>
      <c r="C1050" s="66">
        <f>IF(B1050&lt;&gt;"",VLOOKUP(B1050,Projetos!E:F,2,0),"")</f>
        <v>32</v>
      </c>
      <c r="D1050" s="44" t="str">
        <f>IF(B1050&lt;&gt;"",VLOOKUP(B1050,Projetos!E:G,3,0))</f>
        <v>Treinamentos_e_Capacitações</v>
      </c>
      <c r="E1050" s="54" t="s">
        <v>193</v>
      </c>
      <c r="F1050" s="71" t="s">
        <v>529</v>
      </c>
      <c r="G1050" s="35" t="s">
        <v>528</v>
      </c>
      <c r="H1050" s="42">
        <v>45512</v>
      </c>
      <c r="I1050" s="59">
        <v>0.20833333333333334</v>
      </c>
      <c r="J1050" s="35" t="s">
        <v>14</v>
      </c>
      <c r="K1050" s="22"/>
    </row>
    <row r="1051" spans="2:11" ht="30">
      <c r="B1051" s="22" t="s">
        <v>192</v>
      </c>
      <c r="C1051" s="66">
        <f>IF(B1051&lt;&gt;"",VLOOKUP(B1051,Projetos!E:F,2,0),"")</f>
        <v>32</v>
      </c>
      <c r="D1051" s="44" t="str">
        <f>IF(B1051&lt;&gt;"",VLOOKUP(B1051,Projetos!E:G,3,0))</f>
        <v>Treinamentos_e_Capacitações</v>
      </c>
      <c r="E1051" s="54" t="s">
        <v>193</v>
      </c>
      <c r="F1051" s="71" t="s">
        <v>530</v>
      </c>
      <c r="G1051" s="35" t="s">
        <v>528</v>
      </c>
      <c r="H1051" s="42">
        <v>45513</v>
      </c>
      <c r="I1051" s="59">
        <v>0.20833333333333334</v>
      </c>
      <c r="J1051" s="35" t="s">
        <v>14</v>
      </c>
      <c r="K1051" s="22"/>
    </row>
    <row r="1052" spans="2:11">
      <c r="B1052" s="22" t="s">
        <v>192</v>
      </c>
      <c r="C1052" s="66">
        <f>IF(B1052&lt;&gt;"",VLOOKUP(B1052,Projetos!E:F,2,0),"")</f>
        <v>32</v>
      </c>
      <c r="D1052" s="44" t="str">
        <f>IF(B1052&lt;&gt;"",VLOOKUP(B1052,Projetos!E:G,3,0))</f>
        <v>Treinamentos_e_Capacitações</v>
      </c>
      <c r="E1052" s="54" t="s">
        <v>193</v>
      </c>
      <c r="F1052" s="71" t="s">
        <v>531</v>
      </c>
      <c r="G1052" s="35" t="s">
        <v>528</v>
      </c>
      <c r="H1052" s="42">
        <v>45516</v>
      </c>
      <c r="I1052" s="59">
        <v>0.10416666666666667</v>
      </c>
      <c r="J1052" s="35" t="s">
        <v>14</v>
      </c>
      <c r="K1052" s="22"/>
    </row>
    <row r="1053" spans="2:11">
      <c r="B1053" s="22" t="s">
        <v>385</v>
      </c>
      <c r="C1053" s="66">
        <v>48</v>
      </c>
      <c r="D1053" s="44" t="str">
        <f>IF(B1053&lt;&gt;"",VLOOKUP(B1053,Projetos!E:G,3,0))</f>
        <v>Painel_dos_Sindicados_Diretoria</v>
      </c>
      <c r="E1053" s="54" t="s">
        <v>31</v>
      </c>
      <c r="F1053" s="71" t="s">
        <v>532</v>
      </c>
      <c r="G1053" s="35" t="s">
        <v>34</v>
      </c>
      <c r="H1053" s="42">
        <v>45516</v>
      </c>
      <c r="I1053" s="59">
        <v>8.3333333333333329E-2</v>
      </c>
      <c r="J1053" s="35" t="s">
        <v>14</v>
      </c>
      <c r="K1053" s="22"/>
    </row>
    <row r="1054" spans="2:11">
      <c r="B1054" s="22" t="s">
        <v>138</v>
      </c>
      <c r="C1054" s="66">
        <v>30</v>
      </c>
      <c r="D1054" s="44" t="str">
        <f>IF(B1054&lt;&gt;"",VLOOKUP(B1054,Projetos!E:G,3,0))</f>
        <v>Projetos_e_Atividades_Internas</v>
      </c>
      <c r="E1054" s="54" t="s">
        <v>26</v>
      </c>
      <c r="F1054" s="71" t="s">
        <v>533</v>
      </c>
      <c r="G1054" s="35" t="s">
        <v>34</v>
      </c>
      <c r="H1054" s="42">
        <v>45516</v>
      </c>
      <c r="I1054" s="59">
        <v>0.16666666666666666</v>
      </c>
      <c r="J1054" s="35" t="s">
        <v>14</v>
      </c>
      <c r="K1054" s="22"/>
    </row>
    <row r="1055" spans="2:11">
      <c r="B1055" s="22" t="s">
        <v>156</v>
      </c>
      <c r="C1055" s="66">
        <v>30</v>
      </c>
      <c r="D1055" s="44" t="str">
        <f>IF(B1055&lt;&gt;"",VLOOKUP(B1055,Projetos!E:G,3,0))</f>
        <v>PDE_Serra_Verde</v>
      </c>
      <c r="E1055" s="54" t="s">
        <v>40</v>
      </c>
      <c r="F1055" s="71" t="s">
        <v>534</v>
      </c>
      <c r="G1055" s="35" t="s">
        <v>66</v>
      </c>
      <c r="H1055" s="42">
        <v>45516</v>
      </c>
      <c r="I1055" s="59">
        <v>0.25</v>
      </c>
      <c r="J1055" s="35" t="s">
        <v>14</v>
      </c>
      <c r="K1055" s="22"/>
    </row>
    <row r="1056" spans="2:11">
      <c r="B1056" s="22" t="s">
        <v>192</v>
      </c>
      <c r="C1056" s="66">
        <f>IF(B1056&lt;&gt;"",VLOOKUP(B1056,Projetos!E:F,2,0),"")</f>
        <v>32</v>
      </c>
      <c r="D1056" s="44" t="str">
        <f>IF(B1056&lt;&gt;"",VLOOKUP(B1056,Projetos!E:G,3,0))</f>
        <v>Treinamentos_e_Capacitações</v>
      </c>
      <c r="E1056" s="54" t="s">
        <v>193</v>
      </c>
      <c r="F1056" s="71" t="s">
        <v>535</v>
      </c>
      <c r="G1056" s="35" t="s">
        <v>528</v>
      </c>
      <c r="H1056" s="42">
        <v>45516</v>
      </c>
      <c r="I1056" s="59">
        <v>0.10416666666666667</v>
      </c>
      <c r="J1056" s="35" t="s">
        <v>14</v>
      </c>
      <c r="K1056" s="22"/>
    </row>
    <row r="1057" spans="2:11">
      <c r="B1057" s="22" t="s">
        <v>496</v>
      </c>
      <c r="C1057" s="28">
        <f>IF(B1057&lt;&gt;"",VLOOKUP(B1057,Projetos!E:F,2,0),"")</f>
        <v>51</v>
      </c>
      <c r="D1057" s="44" t="str">
        <f>IF(B1057&lt;&gt;"",VLOOKUP(B1057,Projetos!E:G,3,0))</f>
        <v>Pesquisa_Observatório_do_Rio_Grande_do_Sul_Construção_Civil</v>
      </c>
      <c r="E1057" s="54" t="s">
        <v>16</v>
      </c>
      <c r="F1057" s="71" t="s">
        <v>536</v>
      </c>
      <c r="G1057" s="35" t="s">
        <v>64</v>
      </c>
      <c r="H1057" s="42">
        <v>45512</v>
      </c>
      <c r="I1057" s="59">
        <v>8.3333333333333329E-2</v>
      </c>
      <c r="J1057" s="35" t="s">
        <v>14</v>
      </c>
      <c r="K1057" s="22"/>
    </row>
    <row r="1058" spans="2:11">
      <c r="B1058" s="22" t="s">
        <v>192</v>
      </c>
      <c r="C1058" s="28">
        <f>IF(B1058&lt;&gt;"",VLOOKUP(B1058,Projetos!E:F,2,0),"")</f>
        <v>32</v>
      </c>
      <c r="D1058" s="44" t="str">
        <f>IF(B1058&lt;&gt;"",VLOOKUP(B1058,Projetos!E:G,3,0))</f>
        <v>Treinamentos_e_Capacitações</v>
      </c>
      <c r="E1058" s="54" t="s">
        <v>193</v>
      </c>
      <c r="F1058" s="71" t="s">
        <v>537</v>
      </c>
      <c r="G1058" s="35" t="s">
        <v>64</v>
      </c>
      <c r="H1058" s="42">
        <v>45512</v>
      </c>
      <c r="I1058" s="59">
        <v>0.16666666666666666</v>
      </c>
      <c r="J1058" s="35" t="s">
        <v>14</v>
      </c>
      <c r="K1058" s="22"/>
    </row>
    <row r="1059" spans="2:11">
      <c r="B1059" s="22" t="s">
        <v>496</v>
      </c>
      <c r="C1059" s="28">
        <f>IF(B1059&lt;&gt;"",VLOOKUP(B1059,Projetos!E:F,2,0),"")</f>
        <v>51</v>
      </c>
      <c r="D1059" s="44" t="str">
        <f>IF(B1059&lt;&gt;"",VLOOKUP(B1059,Projetos!E:G,3,0))</f>
        <v>Pesquisa_Observatório_do_Rio_Grande_do_Sul_Construção_Civil</v>
      </c>
      <c r="E1059" s="54" t="s">
        <v>11</v>
      </c>
      <c r="F1059" s="71" t="s">
        <v>538</v>
      </c>
      <c r="G1059" s="35" t="s">
        <v>64</v>
      </c>
      <c r="H1059" s="42">
        <v>45512</v>
      </c>
      <c r="I1059" s="59">
        <v>8.3333333333333329E-2</v>
      </c>
      <c r="J1059" s="35" t="s">
        <v>14</v>
      </c>
      <c r="K1059" s="22"/>
    </row>
    <row r="1060" spans="2:11">
      <c r="B1060" s="22" t="s">
        <v>192</v>
      </c>
      <c r="C1060" s="28">
        <f>IF(B1060&lt;&gt;"",VLOOKUP(B1060,Projetos!E:F,2,0),"")</f>
        <v>32</v>
      </c>
      <c r="D1060" s="44" t="str">
        <f>IF(B1060&lt;&gt;"",VLOOKUP(B1060,Projetos!E:G,3,0))</f>
        <v>Treinamentos_e_Capacitações</v>
      </c>
      <c r="E1060" s="54" t="s">
        <v>193</v>
      </c>
      <c r="F1060" s="71" t="s">
        <v>539</v>
      </c>
      <c r="G1060" s="35" t="s">
        <v>64</v>
      </c>
      <c r="H1060" s="42">
        <v>45513</v>
      </c>
      <c r="I1060" s="59">
        <v>0.16666666666666666</v>
      </c>
      <c r="J1060" s="35" t="s">
        <v>14</v>
      </c>
      <c r="K1060" s="22"/>
    </row>
    <row r="1061" spans="2:11">
      <c r="B1061" s="22" t="s">
        <v>496</v>
      </c>
      <c r="C1061" s="28">
        <f>IF(B1061&lt;&gt;"",VLOOKUP(B1061,Projetos!E:F,2,0),"")</f>
        <v>51</v>
      </c>
      <c r="D1061" s="44" t="str">
        <f>IF(B1061&lt;&gt;"",VLOOKUP(B1061,Projetos!E:G,3,0))</f>
        <v>Pesquisa_Observatório_do_Rio_Grande_do_Sul_Construção_Civil</v>
      </c>
      <c r="E1061" s="54" t="s">
        <v>11</v>
      </c>
      <c r="F1061" s="71" t="s">
        <v>538</v>
      </c>
      <c r="G1061" s="35" t="s">
        <v>64</v>
      </c>
      <c r="H1061" s="42">
        <v>45513</v>
      </c>
      <c r="I1061" s="59">
        <v>8.3333333333333329E-2</v>
      </c>
      <c r="J1061" s="35" t="s">
        <v>14</v>
      </c>
      <c r="K1061" s="22"/>
    </row>
    <row r="1062" spans="2:11">
      <c r="B1062" s="22" t="s">
        <v>128</v>
      </c>
      <c r="C1062" s="28">
        <f>IF(B1062&lt;&gt;"",VLOOKUP(B1062,Projetos!E:F,2,0),"")</f>
        <v>23</v>
      </c>
      <c r="D1062" s="44" t="str">
        <f>IF(B1062&lt;&gt;"",VLOOKUP(B1062,Projetos!E:G,3,0))</f>
        <v>Painel_de_Gestão</v>
      </c>
      <c r="E1062" s="54" t="s">
        <v>40</v>
      </c>
      <c r="F1062" s="71" t="s">
        <v>540</v>
      </c>
      <c r="G1062" s="35" t="s">
        <v>42</v>
      </c>
      <c r="H1062" s="42">
        <v>45517</v>
      </c>
      <c r="I1062" s="59">
        <v>8.3333333333333329E-2</v>
      </c>
      <c r="J1062" s="35" t="s">
        <v>14</v>
      </c>
      <c r="K1062" s="22"/>
    </row>
    <row r="1063" spans="2:11">
      <c r="B1063" s="22" t="s">
        <v>156</v>
      </c>
      <c r="C1063" s="28">
        <f>IF(B1063&lt;&gt;"",VLOOKUP(B1063,Projetos!E:F,2,0),"")</f>
        <v>3</v>
      </c>
      <c r="D1063" s="44" t="str">
        <f>IF(B1063&lt;&gt;"",VLOOKUP(B1063,Projetos!E:G,3,0))</f>
        <v>PDE_Serra_Verde</v>
      </c>
      <c r="E1063" s="54" t="s">
        <v>49</v>
      </c>
      <c r="F1063" s="69" t="s">
        <v>350</v>
      </c>
      <c r="G1063" s="35" t="s">
        <v>13</v>
      </c>
      <c r="H1063" s="42">
        <v>45516</v>
      </c>
      <c r="I1063" s="59">
        <v>0.22916666666666666</v>
      </c>
      <c r="J1063" s="35" t="s">
        <v>14</v>
      </c>
      <c r="K1063" s="22"/>
    </row>
    <row r="1064" spans="2:11">
      <c r="B1064" s="22" t="s">
        <v>138</v>
      </c>
      <c r="C1064" s="28">
        <f>IF(B1064&lt;&gt;"",VLOOKUP(B1064,Projetos!E:F,2,0),"")</f>
        <v>30</v>
      </c>
      <c r="D1064" s="44" t="str">
        <f>IF(B1064&lt;&gt;"",VLOOKUP(B1064,Projetos!E:G,3,0))</f>
        <v>Projetos_e_Atividades_Internas</v>
      </c>
      <c r="E1064" s="54" t="s">
        <v>49</v>
      </c>
      <c r="F1064" s="71" t="s">
        <v>541</v>
      </c>
      <c r="G1064" s="35" t="s">
        <v>13</v>
      </c>
      <c r="H1064" s="42">
        <v>45517</v>
      </c>
      <c r="I1064" s="59">
        <v>0.22916666666666666</v>
      </c>
      <c r="J1064" s="35" t="s">
        <v>14</v>
      </c>
      <c r="K1064" s="22"/>
    </row>
    <row r="1065" spans="2:11" ht="30">
      <c r="B1065" s="22" t="s">
        <v>138</v>
      </c>
      <c r="C1065" s="28">
        <f>IF(B1065&lt;&gt;"",VLOOKUP(B1065,Projetos!E:F,2,0),"")</f>
        <v>30</v>
      </c>
      <c r="D1065" s="44" t="str">
        <f>IF(B1065&lt;&gt;"",VLOOKUP(B1065,Projetos!E:G,3,0))</f>
        <v>Projetos_e_Atividades_Internas</v>
      </c>
      <c r="E1065" s="54" t="s">
        <v>26</v>
      </c>
      <c r="F1065" s="71" t="s">
        <v>542</v>
      </c>
      <c r="G1065" s="35" t="s">
        <v>34</v>
      </c>
      <c r="H1065" s="42">
        <v>45517</v>
      </c>
      <c r="I1065" s="59">
        <v>4.1666666666666664E-2</v>
      </c>
      <c r="J1065" s="35" t="s">
        <v>14</v>
      </c>
      <c r="K1065" s="22"/>
    </row>
    <row r="1066" spans="2:11" ht="30">
      <c r="B1066" s="22" t="s">
        <v>140</v>
      </c>
      <c r="C1066" s="28">
        <f>IF(B1066&lt;&gt;"",VLOOKUP(B1066,Projetos!E:F,2,0),"")</f>
        <v>39</v>
      </c>
      <c r="D1066" s="44" t="str">
        <f>IF(B1066&lt;&gt;"",VLOOKUP(B1066,Projetos!E:G,3,0))</f>
        <v>Projeto_Agrodefesa</v>
      </c>
      <c r="E1066" s="54" t="s">
        <v>40</v>
      </c>
      <c r="F1066" s="71" t="s">
        <v>543</v>
      </c>
      <c r="G1066" s="35" t="s">
        <v>42</v>
      </c>
      <c r="H1066" s="42">
        <v>45517</v>
      </c>
      <c r="I1066" s="59">
        <v>8.3333333333333329E-2</v>
      </c>
      <c r="J1066" s="35" t="s">
        <v>14</v>
      </c>
      <c r="K1066" s="22"/>
    </row>
    <row r="1067" spans="2:11" ht="30">
      <c r="B1067" s="22" t="s">
        <v>140</v>
      </c>
      <c r="C1067" s="28">
        <f>IF(B1067&lt;&gt;"",VLOOKUP(B1067,Projetos!E:F,2,0),"")</f>
        <v>39</v>
      </c>
      <c r="D1067" s="44" t="str">
        <f>IF(B1067&lt;&gt;"",VLOOKUP(B1067,Projetos!E:G,3,0))</f>
        <v>Projeto_Agrodefesa</v>
      </c>
      <c r="E1067" s="54" t="s">
        <v>26</v>
      </c>
      <c r="F1067" s="71" t="s">
        <v>544</v>
      </c>
      <c r="G1067" s="35" t="s">
        <v>34</v>
      </c>
      <c r="H1067" s="42">
        <v>45517</v>
      </c>
      <c r="I1067" s="59">
        <v>4.1666666666666664E-2</v>
      </c>
      <c r="J1067" s="35" t="s">
        <v>14</v>
      </c>
      <c r="K1067" s="22"/>
    </row>
    <row r="1068" spans="2:11">
      <c r="B1068" s="22" t="s">
        <v>385</v>
      </c>
      <c r="C1068" s="28">
        <f>IF(B1068&lt;&gt;"",VLOOKUP(B1068,Projetos!E:F,2,0),"")</f>
        <v>48</v>
      </c>
      <c r="D1068" s="44" t="str">
        <f>IF(B1068&lt;&gt;"",VLOOKUP(B1068,Projetos!E:G,3,0))</f>
        <v>Painel_dos_Sindicados_Diretoria</v>
      </c>
      <c r="E1068" s="54" t="s">
        <v>49</v>
      </c>
      <c r="F1068" s="71" t="s">
        <v>545</v>
      </c>
      <c r="G1068" s="35" t="s">
        <v>20</v>
      </c>
      <c r="H1068" s="42">
        <v>45516</v>
      </c>
      <c r="I1068" s="59">
        <v>0.16666666666666666</v>
      </c>
      <c r="J1068" s="35" t="s">
        <v>14</v>
      </c>
      <c r="K1068" s="22"/>
    </row>
    <row r="1069" spans="2:11">
      <c r="B1069" s="22" t="s">
        <v>138</v>
      </c>
      <c r="C1069" s="28">
        <f>IF(B1069&lt;&gt;"",VLOOKUP(B1069,Projetos!E:F,2,0),"")</f>
        <v>30</v>
      </c>
      <c r="D1069" s="44" t="str">
        <f>IF(B1069&lt;&gt;"",VLOOKUP(B1069,Projetos!E:G,3,0))</f>
        <v>Projetos_e_Atividades_Internas</v>
      </c>
      <c r="E1069" s="54" t="s">
        <v>16</v>
      </c>
      <c r="F1069" s="71" t="s">
        <v>546</v>
      </c>
      <c r="G1069" s="35" t="s">
        <v>20</v>
      </c>
      <c r="H1069" s="42">
        <v>45516</v>
      </c>
      <c r="I1069" s="59">
        <v>2.0833333333333332E-2</v>
      </c>
      <c r="J1069" s="35" t="s">
        <v>14</v>
      </c>
      <c r="K1069" s="22"/>
    </row>
    <row r="1070" spans="2:11" ht="30">
      <c r="B1070" s="22" t="s">
        <v>385</v>
      </c>
      <c r="C1070" s="28">
        <f>IF(B1070&lt;&gt;"",VLOOKUP(B1070,Projetos!E:F,2,0),"")</f>
        <v>48</v>
      </c>
      <c r="D1070" s="44" t="str">
        <f>IF(B1070&lt;&gt;"",VLOOKUP(B1070,Projetos!E:G,3,0))</f>
        <v>Painel_dos_Sindicados_Diretoria</v>
      </c>
      <c r="E1070" s="54" t="s">
        <v>25</v>
      </c>
      <c r="F1070" s="71" t="s">
        <v>547</v>
      </c>
      <c r="G1070" s="35" t="s">
        <v>20</v>
      </c>
      <c r="H1070" s="42">
        <v>45516</v>
      </c>
      <c r="I1070" s="59">
        <v>0.1875</v>
      </c>
      <c r="J1070" s="35" t="s">
        <v>14</v>
      </c>
      <c r="K1070" s="22"/>
    </row>
    <row r="1071" spans="2:11">
      <c r="B1071" s="22" t="s">
        <v>192</v>
      </c>
      <c r="C1071" s="28">
        <f>IF(B1071&lt;&gt;"",VLOOKUP(B1071,Projetos!E:F,2,0),"")</f>
        <v>32</v>
      </c>
      <c r="D1071" s="44" t="str">
        <f>IF(B1071&lt;&gt;"",VLOOKUP(B1071,Projetos!E:G,3,0))</f>
        <v>Treinamentos_e_Capacitações</v>
      </c>
      <c r="E1071" s="54" t="s">
        <v>193</v>
      </c>
      <c r="F1071" s="71" t="s">
        <v>548</v>
      </c>
      <c r="G1071" s="35" t="s">
        <v>528</v>
      </c>
      <c r="H1071" s="42">
        <v>45517</v>
      </c>
      <c r="I1071" s="59">
        <v>0.14583333333333334</v>
      </c>
      <c r="J1071" s="35" t="s">
        <v>14</v>
      </c>
      <c r="K1071" s="22"/>
    </row>
    <row r="1072" spans="2:11">
      <c r="B1072" s="22" t="s">
        <v>192</v>
      </c>
      <c r="C1072" s="28">
        <f>IF(B1072&lt;&gt;"",VLOOKUP(B1072,Projetos!E:F,2,0),"")</f>
        <v>32</v>
      </c>
      <c r="D1072" s="44" t="str">
        <f>IF(B1072&lt;&gt;"",VLOOKUP(B1072,Projetos!E:G,3,0))</f>
        <v>Treinamentos_e_Capacitações</v>
      </c>
      <c r="E1072" s="54" t="s">
        <v>193</v>
      </c>
      <c r="F1072" s="71" t="s">
        <v>549</v>
      </c>
      <c r="G1072" s="35" t="s">
        <v>525</v>
      </c>
      <c r="H1072" s="42">
        <v>45517</v>
      </c>
      <c r="I1072" s="59">
        <v>0.1875</v>
      </c>
      <c r="J1072" s="35" t="s">
        <v>14</v>
      </c>
      <c r="K1072" s="22"/>
    </row>
    <row r="1073" spans="2:11">
      <c r="B1073" s="22" t="s">
        <v>192</v>
      </c>
      <c r="C1073" s="28">
        <f>IF(B1073&lt;&gt;"",VLOOKUP(B1073,Projetos!E:F,2,0),"")</f>
        <v>32</v>
      </c>
      <c r="D1073" s="44" t="str">
        <f>IF(B1073&lt;&gt;"",VLOOKUP(B1073,Projetos!E:G,3,0))</f>
        <v>Treinamentos_e_Capacitações</v>
      </c>
      <c r="E1073" s="54" t="s">
        <v>193</v>
      </c>
      <c r="F1073" s="71" t="s">
        <v>550</v>
      </c>
      <c r="G1073" s="35" t="s">
        <v>528</v>
      </c>
      <c r="H1073" s="42">
        <v>45517</v>
      </c>
      <c r="I1073" s="59">
        <v>6.25E-2</v>
      </c>
      <c r="J1073" s="35" t="s">
        <v>14</v>
      </c>
      <c r="K1073" s="22"/>
    </row>
    <row r="1074" spans="2:11">
      <c r="B1074" s="22" t="s">
        <v>192</v>
      </c>
      <c r="C1074" s="28">
        <f>IF(B1074&lt;&gt;"",VLOOKUP(B1074,Projetos!E:F,2,0),"")</f>
        <v>32</v>
      </c>
      <c r="D1074" s="44" t="str">
        <f>IF(B1074&lt;&gt;"",VLOOKUP(B1074,Projetos!E:G,3,0))</f>
        <v>Treinamentos_e_Capacitações</v>
      </c>
      <c r="E1074" s="54" t="s">
        <v>193</v>
      </c>
      <c r="F1074" s="71" t="s">
        <v>551</v>
      </c>
      <c r="G1074" s="35" t="s">
        <v>525</v>
      </c>
      <c r="H1074" s="42">
        <v>45517</v>
      </c>
      <c r="I1074" s="59">
        <v>6.25E-2</v>
      </c>
      <c r="J1074" s="35" t="s">
        <v>14</v>
      </c>
      <c r="K1074" s="22"/>
    </row>
    <row r="1075" spans="2:11">
      <c r="B1075" s="22" t="s">
        <v>138</v>
      </c>
      <c r="C1075" s="28">
        <f>IF(B1075&lt;&gt;"",VLOOKUP(B1075,Projetos!E:F,2,0),"")</f>
        <v>30</v>
      </c>
      <c r="D1075" s="44" t="str">
        <f>IF(B1075&lt;&gt;"",VLOOKUP(B1075,Projetos!E:G,3,0))</f>
        <v>Projetos_e_Atividades_Internas</v>
      </c>
      <c r="E1075" s="54" t="s">
        <v>49</v>
      </c>
      <c r="F1075" s="71" t="s">
        <v>552</v>
      </c>
      <c r="G1075" s="35" t="s">
        <v>20</v>
      </c>
      <c r="H1075" s="42">
        <v>45517</v>
      </c>
      <c r="I1075" s="59">
        <v>0.22916666666666666</v>
      </c>
      <c r="J1075" s="35" t="s">
        <v>14</v>
      </c>
      <c r="K1075" s="22"/>
    </row>
    <row r="1076" spans="2:11">
      <c r="B1076" s="22" t="s">
        <v>488</v>
      </c>
      <c r="C1076" s="28">
        <f>IF(B1076&lt;&gt;"",VLOOKUP(B1076,Projetos!E:F,2,0),"")</f>
        <v>50</v>
      </c>
      <c r="D1076" s="44" t="str">
        <f>IF(B1076&lt;&gt;"",VLOOKUP(B1076,Projetos!E:G,3,0))</f>
        <v>Demandas_Federação</v>
      </c>
      <c r="E1076" s="54" t="s">
        <v>26</v>
      </c>
      <c r="F1076" s="71" t="s">
        <v>553</v>
      </c>
      <c r="G1076" s="35" t="s">
        <v>20</v>
      </c>
      <c r="H1076" s="42">
        <v>45517</v>
      </c>
      <c r="I1076" s="59">
        <v>0.10416666666666667</v>
      </c>
      <c r="J1076" s="35" t="s">
        <v>14</v>
      </c>
      <c r="K1076" s="22"/>
    </row>
    <row r="1077" spans="2:11">
      <c r="B1077" s="22" t="s">
        <v>140</v>
      </c>
      <c r="C1077" s="28">
        <f>IF(B1077&lt;&gt;"",VLOOKUP(B1077,Projetos!E:F,2,0),"")</f>
        <v>39</v>
      </c>
      <c r="D1077" s="44" t="str">
        <f>IF(B1077&lt;&gt;"",VLOOKUP(B1077,Projetos!E:G,3,0))</f>
        <v>Projeto_Agrodefesa</v>
      </c>
      <c r="E1077" s="54" t="s">
        <v>16</v>
      </c>
      <c r="F1077" s="71" t="s">
        <v>73</v>
      </c>
      <c r="G1077" s="35" t="s">
        <v>20</v>
      </c>
      <c r="H1077" s="42">
        <v>45517</v>
      </c>
      <c r="I1077" s="59">
        <v>5.5555555555555552E-2</v>
      </c>
      <c r="J1077" s="35" t="s">
        <v>14</v>
      </c>
      <c r="K1077" s="22"/>
    </row>
    <row r="1078" spans="2:11">
      <c r="B1078" s="22" t="s">
        <v>140</v>
      </c>
      <c r="C1078" s="28">
        <f>IF(B1078&lt;&gt;"",VLOOKUP(B1078,Projetos!E:F,2,0),"")</f>
        <v>39</v>
      </c>
      <c r="D1078" s="44" t="str">
        <f>IF(B1078&lt;&gt;"",VLOOKUP(B1078,Projetos!E:G,3,0))</f>
        <v>Projeto_Agrodefesa</v>
      </c>
      <c r="E1078" s="54" t="s">
        <v>16</v>
      </c>
      <c r="F1078" s="71" t="s">
        <v>73</v>
      </c>
      <c r="G1078" s="35" t="s">
        <v>42</v>
      </c>
      <c r="H1078" s="42">
        <v>45517</v>
      </c>
      <c r="I1078" s="59">
        <v>5.5555555555555552E-2</v>
      </c>
      <c r="J1078" s="35" t="s">
        <v>14</v>
      </c>
      <c r="K1078" s="22"/>
    </row>
    <row r="1079" spans="2:11">
      <c r="B1079" s="22" t="s">
        <v>192</v>
      </c>
      <c r="C1079" s="28">
        <f>IF(B1079&lt;&gt;"",VLOOKUP(B1079,Projetos!E:F,2,0),"")</f>
        <v>32</v>
      </c>
      <c r="D1079" s="44" t="str">
        <f>IF(B1079&lt;&gt;"",VLOOKUP(B1079,Projetos!E:G,3,0))</f>
        <v>Treinamentos_e_Capacitações</v>
      </c>
      <c r="E1079" s="54" t="s">
        <v>193</v>
      </c>
      <c r="F1079" s="71" t="s">
        <v>554</v>
      </c>
      <c r="G1079" s="35" t="s">
        <v>64</v>
      </c>
      <c r="H1079" s="42">
        <v>45516</v>
      </c>
      <c r="I1079" s="59">
        <v>0.25</v>
      </c>
      <c r="J1079" s="35" t="s">
        <v>14</v>
      </c>
      <c r="K1079" s="22"/>
    </row>
    <row r="1080" spans="2:11" ht="30">
      <c r="B1080" s="22" t="s">
        <v>192</v>
      </c>
      <c r="C1080" s="28">
        <f>IF(B1080&lt;&gt;"",VLOOKUP(B1080,Projetos!E:F,2,0),"")</f>
        <v>32</v>
      </c>
      <c r="D1080" s="44" t="str">
        <f>IF(B1080&lt;&gt;"",VLOOKUP(B1080,Projetos!E:G,3,0))</f>
        <v>Treinamentos_e_Capacitações</v>
      </c>
      <c r="E1080" s="54" t="s">
        <v>193</v>
      </c>
      <c r="F1080" s="71" t="s">
        <v>555</v>
      </c>
      <c r="G1080" s="35" t="s">
        <v>64</v>
      </c>
      <c r="H1080" s="42">
        <v>45516</v>
      </c>
      <c r="I1080" s="59">
        <v>8.3333333333333329E-2</v>
      </c>
      <c r="J1080" s="35" t="s">
        <v>14</v>
      </c>
      <c r="K1080" s="22"/>
    </row>
    <row r="1081" spans="2:11">
      <c r="B1081" s="22" t="s">
        <v>140</v>
      </c>
      <c r="C1081" s="28">
        <f>IF(B1081&lt;&gt;"",VLOOKUP(B1081,Projetos!E:F,2,0),"")</f>
        <v>39</v>
      </c>
      <c r="D1081" s="44" t="str">
        <f>IF(B1081&lt;&gt;"",VLOOKUP(B1081,Projetos!E:G,3,0))</f>
        <v>Projeto_Agrodefesa</v>
      </c>
      <c r="E1081" s="54" t="s">
        <v>16</v>
      </c>
      <c r="F1081" s="71" t="s">
        <v>73</v>
      </c>
      <c r="G1081" s="35" t="s">
        <v>64</v>
      </c>
      <c r="H1081" s="42">
        <v>45517</v>
      </c>
      <c r="I1081" s="59">
        <v>5.5555555555555552E-2</v>
      </c>
      <c r="J1081" s="35" t="s">
        <v>14</v>
      </c>
      <c r="K1081" s="22"/>
    </row>
    <row r="1082" spans="2:11">
      <c r="B1082" s="22" t="s">
        <v>192</v>
      </c>
      <c r="C1082" s="28">
        <f>IF(B1082&lt;&gt;"",VLOOKUP(B1082,Projetos!E:F,2,0),"")</f>
        <v>32</v>
      </c>
      <c r="D1082" s="44" t="str">
        <f>IF(B1082&lt;&gt;"",VLOOKUP(B1082,Projetos!E:G,3,0))</f>
        <v>Treinamentos_e_Capacitações</v>
      </c>
      <c r="E1082" s="54" t="s">
        <v>193</v>
      </c>
      <c r="F1082" s="71" t="s">
        <v>554</v>
      </c>
      <c r="G1082" s="35" t="s">
        <v>64</v>
      </c>
      <c r="H1082" s="42">
        <v>45517</v>
      </c>
      <c r="I1082" s="59">
        <v>0.16666666666666666</v>
      </c>
      <c r="J1082" s="35" t="s">
        <v>14</v>
      </c>
      <c r="K1082" s="22"/>
    </row>
    <row r="1083" spans="2:11">
      <c r="B1083" s="22" t="s">
        <v>138</v>
      </c>
      <c r="C1083" s="28">
        <f>IF(B1083&lt;&gt;"",VLOOKUP(B1083,Projetos!E:F,2,0),"")</f>
        <v>30</v>
      </c>
      <c r="D1083" s="44" t="str">
        <f>IF(B1083&lt;&gt;"",VLOOKUP(B1083,Projetos!E:G,3,0))</f>
        <v>Projetos_e_Atividades_Internas</v>
      </c>
      <c r="E1083" s="54" t="s">
        <v>26</v>
      </c>
      <c r="F1083" s="71" t="s">
        <v>556</v>
      </c>
      <c r="G1083" s="35" t="s">
        <v>64</v>
      </c>
      <c r="H1083" s="42">
        <v>45517</v>
      </c>
      <c r="I1083" s="59">
        <v>2.0833333333333332E-2</v>
      </c>
      <c r="J1083" s="35" t="s">
        <v>14</v>
      </c>
      <c r="K1083" s="22"/>
    </row>
    <row r="1084" spans="2:11">
      <c r="B1084" s="22" t="s">
        <v>138</v>
      </c>
      <c r="C1084" s="28">
        <f>IF(B1084&lt;&gt;"",VLOOKUP(B1084,Projetos!E:F,2,0),"")</f>
        <v>30</v>
      </c>
      <c r="D1084" s="44" t="str">
        <f>IF(B1084&lt;&gt;"",VLOOKUP(B1084,Projetos!E:G,3,0))</f>
        <v>Projetos_e_Atividades_Internas</v>
      </c>
      <c r="E1084" s="54" t="s">
        <v>26</v>
      </c>
      <c r="F1084" s="71" t="s">
        <v>557</v>
      </c>
      <c r="G1084" s="35" t="s">
        <v>64</v>
      </c>
      <c r="H1084" s="42">
        <v>45517</v>
      </c>
      <c r="I1084" s="59">
        <v>2.0833333333333332E-2</v>
      </c>
      <c r="J1084" s="35" t="s">
        <v>14</v>
      </c>
      <c r="K1084" s="22"/>
    </row>
    <row r="1085" spans="2:11">
      <c r="B1085" s="22" t="s">
        <v>140</v>
      </c>
      <c r="C1085" s="28">
        <f>IF(B1085&lt;&gt;"",VLOOKUP(B1085,Projetos!E:F,2,0),"")</f>
        <v>39</v>
      </c>
      <c r="D1085" s="44" t="str">
        <f>IF(B1085&lt;&gt;"",VLOOKUP(B1085,Projetos!E:G,3,0))</f>
        <v>Projeto_Agrodefesa</v>
      </c>
      <c r="E1085" s="54" t="s">
        <v>21</v>
      </c>
      <c r="F1085" s="71" t="s">
        <v>558</v>
      </c>
      <c r="G1085" s="35" t="s">
        <v>64</v>
      </c>
      <c r="H1085" s="42">
        <v>45517</v>
      </c>
      <c r="I1085" s="59">
        <v>6.9444444444444448E-2</v>
      </c>
      <c r="J1085" s="35" t="s">
        <v>14</v>
      </c>
      <c r="K1085" s="22"/>
    </row>
    <row r="1086" spans="2:11">
      <c r="B1086" s="22" t="s">
        <v>156</v>
      </c>
      <c r="C1086" s="28">
        <f>IF(B1086&lt;&gt;"",VLOOKUP(B1086,Projetos!E:F,2,0),"")</f>
        <v>3</v>
      </c>
      <c r="D1086" s="44" t="str">
        <f>IF(B1086&lt;&gt;"",VLOOKUP(B1086,Projetos!E:G,3,0))</f>
        <v>PDE_Serra_Verde</v>
      </c>
      <c r="E1086" s="54" t="s">
        <v>40</v>
      </c>
      <c r="F1086" s="71" t="s">
        <v>559</v>
      </c>
      <c r="G1086" s="35" t="s">
        <v>66</v>
      </c>
      <c r="H1086" s="42">
        <v>45517</v>
      </c>
      <c r="I1086" s="59">
        <v>0.25</v>
      </c>
      <c r="J1086" s="35" t="s">
        <v>14</v>
      </c>
      <c r="K1086" s="22"/>
    </row>
    <row r="1087" spans="2:11">
      <c r="B1087" s="22" t="s">
        <v>140</v>
      </c>
      <c r="C1087" s="28">
        <f>IF(B1087&lt;&gt;"",VLOOKUP(B1087,Projetos!E:F,2,0),"")</f>
        <v>39</v>
      </c>
      <c r="D1087" s="44" t="str">
        <f>IF(B1087&lt;&gt;"",VLOOKUP(B1087,Projetos!E:G,3,0))</f>
        <v>Projeto_Agrodefesa</v>
      </c>
      <c r="E1087" s="54" t="s">
        <v>16</v>
      </c>
      <c r="F1087" s="71" t="s">
        <v>560</v>
      </c>
      <c r="G1087" s="35" t="s">
        <v>64</v>
      </c>
      <c r="H1087" s="42">
        <v>45518</v>
      </c>
      <c r="I1087" s="59">
        <v>4.1666666666666664E-2</v>
      </c>
      <c r="J1087" s="35" t="s">
        <v>14</v>
      </c>
      <c r="K1087" s="22"/>
    </row>
    <row r="1088" spans="2:11">
      <c r="B1088" s="22" t="s">
        <v>192</v>
      </c>
      <c r="C1088" s="28">
        <f>IF(B1088&lt;&gt;"",VLOOKUP(B1088,Projetos!E:F,2,0),"")</f>
        <v>32</v>
      </c>
      <c r="D1088" s="44" t="str">
        <f>IF(B1088&lt;&gt;"",VLOOKUP(B1088,Projetos!E:G,3,0))</f>
        <v>Treinamentos_e_Capacitações</v>
      </c>
      <c r="E1088" s="54" t="s">
        <v>193</v>
      </c>
      <c r="F1088" s="71" t="s">
        <v>554</v>
      </c>
      <c r="G1088" s="35" t="s">
        <v>64</v>
      </c>
      <c r="H1088" s="42">
        <v>45518</v>
      </c>
      <c r="I1088" s="59">
        <v>4.1666666666666664E-2</v>
      </c>
      <c r="J1088" s="35" t="s">
        <v>14</v>
      </c>
      <c r="K1088" s="22"/>
    </row>
    <row r="1089" spans="2:11">
      <c r="B1089" s="22" t="s">
        <v>156</v>
      </c>
      <c r="C1089" s="28">
        <f>IF(B1089&lt;&gt;"",VLOOKUP(B1089,Projetos!E:F,2,0),"")</f>
        <v>3</v>
      </c>
      <c r="D1089" s="44" t="str">
        <f>IF(B1089&lt;&gt;"",VLOOKUP(B1089,Projetos!E:G,3,0))</f>
        <v>PDE_Serra_Verde</v>
      </c>
      <c r="E1089" s="54" t="s">
        <v>16</v>
      </c>
      <c r="F1089" s="71" t="s">
        <v>561</v>
      </c>
      <c r="G1089" s="35" t="s">
        <v>42</v>
      </c>
      <c r="H1089" s="42">
        <v>45518</v>
      </c>
      <c r="I1089" s="59">
        <v>4.1666666666666664E-2</v>
      </c>
      <c r="J1089" s="35" t="s">
        <v>14</v>
      </c>
      <c r="K1089" s="22"/>
    </row>
    <row r="1090" spans="2:11">
      <c r="B1090" s="22" t="s">
        <v>156</v>
      </c>
      <c r="C1090" s="28">
        <f>IF(B1090&lt;&gt;"",VLOOKUP(B1090,Projetos!E:F,2,0),"")</f>
        <v>3</v>
      </c>
      <c r="D1090" s="44" t="str">
        <f>IF(B1090&lt;&gt;"",VLOOKUP(B1090,Projetos!E:G,3,0))</f>
        <v>PDE_Serra_Verde</v>
      </c>
      <c r="E1090" s="54" t="s">
        <v>16</v>
      </c>
      <c r="F1090" s="71" t="s">
        <v>561</v>
      </c>
      <c r="G1090" s="35" t="s">
        <v>66</v>
      </c>
      <c r="H1090" s="42">
        <v>45518</v>
      </c>
      <c r="I1090" s="59">
        <v>4.1666666666666664E-2</v>
      </c>
      <c r="J1090" s="35" t="s">
        <v>14</v>
      </c>
      <c r="K1090" s="22"/>
    </row>
    <row r="1091" spans="2:11">
      <c r="B1091" s="22" t="s">
        <v>294</v>
      </c>
      <c r="C1091" s="28">
        <f>IF(B1091&lt;&gt;"",VLOOKUP(B1091,Projetos!E:F,2,0),"")</f>
        <v>26</v>
      </c>
      <c r="D1091" s="44">
        <f>IF(B1091&lt;&gt;"",VLOOKUP(B1091,Projetos!E:G,3,0))</f>
        <v>0</v>
      </c>
      <c r="E1091" s="54" t="s">
        <v>16</v>
      </c>
      <c r="F1091" s="71" t="s">
        <v>562</v>
      </c>
      <c r="G1091" s="35" t="s">
        <v>174</v>
      </c>
      <c r="H1091" s="42">
        <v>45518</v>
      </c>
      <c r="I1091" s="59">
        <v>0.125</v>
      </c>
      <c r="J1091" s="35" t="s">
        <v>14</v>
      </c>
      <c r="K1091" s="22"/>
    </row>
    <row r="1092" spans="2:11">
      <c r="B1092" s="22" t="s">
        <v>140</v>
      </c>
      <c r="C1092" s="28">
        <f>IF(B1092&lt;&gt;"",VLOOKUP(B1092,Projetos!E:F,2,0),"")</f>
        <v>39</v>
      </c>
      <c r="D1092" s="44" t="str">
        <f>IF(B1092&lt;&gt;"",VLOOKUP(B1092,Projetos!E:G,3,0))</f>
        <v>Projeto_Agrodefesa</v>
      </c>
      <c r="E1092" s="54" t="s">
        <v>16</v>
      </c>
      <c r="F1092" s="71" t="s">
        <v>560</v>
      </c>
      <c r="G1092" s="35" t="s">
        <v>42</v>
      </c>
      <c r="H1092" s="42">
        <v>45518</v>
      </c>
      <c r="I1092" s="59">
        <v>4.1666666666666664E-2</v>
      </c>
      <c r="J1092" s="35" t="s">
        <v>14</v>
      </c>
      <c r="K1092" s="22"/>
    </row>
    <row r="1093" spans="2:11">
      <c r="B1093" s="22" t="s">
        <v>138</v>
      </c>
      <c r="C1093" s="28">
        <f>IF(B1093&lt;&gt;"",VLOOKUP(B1093,Projetos!E:F,2,0),"")</f>
        <v>30</v>
      </c>
      <c r="D1093" s="44" t="str">
        <f>IF(B1093&lt;&gt;"",VLOOKUP(B1093,Projetos!E:G,3,0))</f>
        <v>Projetos_e_Atividades_Internas</v>
      </c>
      <c r="E1093" s="54" t="s">
        <v>21</v>
      </c>
      <c r="F1093" s="71" t="s">
        <v>563</v>
      </c>
      <c r="G1093" s="35" t="s">
        <v>174</v>
      </c>
      <c r="H1093" s="42">
        <v>45513</v>
      </c>
      <c r="I1093" s="59">
        <v>0.91666666666666663</v>
      </c>
      <c r="J1093" s="35" t="s">
        <v>14</v>
      </c>
      <c r="K1093" s="22"/>
    </row>
    <row r="1094" spans="2:11">
      <c r="B1094" s="22" t="s">
        <v>15</v>
      </c>
      <c r="C1094" s="28">
        <f>IF(B1094&lt;&gt;"",VLOOKUP(B1094,Projetos!E:F,2,0),"")</f>
        <v>10</v>
      </c>
      <c r="D1094" s="44">
        <f>IF(B1094&lt;&gt;"",VLOOKUP(B1094,Projetos!E:G,3,0))</f>
        <v>0</v>
      </c>
      <c r="E1094" s="54" t="s">
        <v>119</v>
      </c>
      <c r="F1094" s="71" t="s">
        <v>564</v>
      </c>
      <c r="G1094" s="35" t="s">
        <v>19</v>
      </c>
      <c r="H1094" s="42">
        <v>45518</v>
      </c>
      <c r="I1094" s="59">
        <v>0.125</v>
      </c>
      <c r="J1094" s="35" t="s">
        <v>14</v>
      </c>
      <c r="K1094" s="22"/>
    </row>
    <row r="1095" spans="2:11">
      <c r="B1095" s="22" t="s">
        <v>140</v>
      </c>
      <c r="C1095" s="28">
        <f>IF(B1095&lt;&gt;"",VLOOKUP(B1095,Projetos!E:F,2,0),"")</f>
        <v>39</v>
      </c>
      <c r="D1095" s="44" t="str">
        <f>IF(B1095&lt;&gt;"",VLOOKUP(B1095,Projetos!E:G,3,0))</f>
        <v>Projeto_Agrodefesa</v>
      </c>
      <c r="E1095" s="54" t="s">
        <v>16</v>
      </c>
      <c r="F1095" s="71" t="s">
        <v>565</v>
      </c>
      <c r="G1095" s="35" t="s">
        <v>19</v>
      </c>
      <c r="H1095" s="42">
        <v>45518</v>
      </c>
      <c r="I1095" s="59">
        <v>8.3333333333333329E-2</v>
      </c>
      <c r="J1095" s="35" t="s">
        <v>14</v>
      </c>
      <c r="K1095" s="22"/>
    </row>
    <row r="1096" spans="2:11">
      <c r="B1096" s="22" t="s">
        <v>140</v>
      </c>
      <c r="C1096" s="28">
        <f>IF(B1096&lt;&gt;"",VLOOKUP(B1096,Projetos!E:F,2,0),"")</f>
        <v>39</v>
      </c>
      <c r="D1096" s="44" t="str">
        <f>IF(B1096&lt;&gt;"",VLOOKUP(B1096,Projetos!E:G,3,0))</f>
        <v>Projeto_Agrodefesa</v>
      </c>
      <c r="E1096" s="54" t="s">
        <v>16</v>
      </c>
      <c r="F1096" s="71" t="s">
        <v>566</v>
      </c>
      <c r="G1096" s="35" t="s">
        <v>64</v>
      </c>
      <c r="H1096" s="42">
        <v>45518</v>
      </c>
      <c r="I1096" s="59">
        <v>2.0833333333333332E-2</v>
      </c>
      <c r="J1096" s="35" t="s">
        <v>14</v>
      </c>
      <c r="K1096" s="26"/>
    </row>
    <row r="1097" spans="2:11">
      <c r="B1097" s="22" t="s">
        <v>140</v>
      </c>
      <c r="C1097" s="28">
        <f>IF(B1097&lt;&gt;"",VLOOKUP(B1097,Projetos!E:F,2,0),"")</f>
        <v>39</v>
      </c>
      <c r="D1097" s="44" t="str">
        <f>IF(B1097&lt;&gt;"",VLOOKUP(B1097,Projetos!E:G,3,0))</f>
        <v>Projeto_Agrodefesa</v>
      </c>
      <c r="E1097" s="54" t="s">
        <v>40</v>
      </c>
      <c r="F1097" s="72" t="s">
        <v>567</v>
      </c>
      <c r="G1097" s="35" t="s">
        <v>64</v>
      </c>
      <c r="H1097" s="42">
        <v>45518</v>
      </c>
      <c r="I1097" s="68">
        <v>8.3333333333333329E-2</v>
      </c>
      <c r="J1097" s="66" t="s">
        <v>14</v>
      </c>
      <c r="K1097" s="22"/>
    </row>
    <row r="1098" spans="2:11">
      <c r="B1098" s="22" t="s">
        <v>192</v>
      </c>
      <c r="C1098" s="28">
        <f>IF(B1098&lt;&gt;"",VLOOKUP(B1098,Projetos!E:F,2,0),"")</f>
        <v>32</v>
      </c>
      <c r="D1098" s="44" t="str">
        <f>IF(B1098&lt;&gt;"",VLOOKUP(B1098,Projetos!E:G,3,0))</f>
        <v>Treinamentos_e_Capacitações</v>
      </c>
      <c r="E1098" s="54" t="s">
        <v>193</v>
      </c>
      <c r="F1098" s="82" t="s">
        <v>554</v>
      </c>
      <c r="G1098" s="35" t="s">
        <v>64</v>
      </c>
      <c r="H1098" s="42">
        <v>45518</v>
      </c>
      <c r="I1098" s="59">
        <v>4.1666666666666664E-2</v>
      </c>
      <c r="J1098" s="66" t="s">
        <v>14</v>
      </c>
      <c r="K1098" s="22"/>
    </row>
    <row r="1099" spans="2:11">
      <c r="B1099" s="22" t="s">
        <v>138</v>
      </c>
      <c r="C1099" s="28">
        <f>IF(B1099&lt;&gt;"",VLOOKUP(B1099,Projetos!E:F,2,0),"")</f>
        <v>30</v>
      </c>
      <c r="D1099" s="44" t="str">
        <f>IF(B1099&lt;&gt;"",VLOOKUP(B1099,Projetos!E:G,3,0))</f>
        <v>Projetos_e_Atividades_Internas</v>
      </c>
      <c r="E1099" s="81" t="s">
        <v>193</v>
      </c>
      <c r="F1099" s="71" t="s">
        <v>568</v>
      </c>
      <c r="G1099" s="41" t="s">
        <v>64</v>
      </c>
      <c r="H1099" s="42">
        <v>45518</v>
      </c>
      <c r="I1099" s="59">
        <v>4.1666666666666664E-2</v>
      </c>
      <c r="J1099" s="66" t="s">
        <v>14</v>
      </c>
      <c r="K1099" s="22"/>
    </row>
    <row r="1100" spans="2:11">
      <c r="B1100" s="22" t="s">
        <v>156</v>
      </c>
      <c r="C1100" s="28">
        <f>IF(B1100&lt;&gt;"",VLOOKUP(B1100,Projetos!E:F,2,0),"")</f>
        <v>3</v>
      </c>
      <c r="D1100" s="44" t="str">
        <f>IF(B1100&lt;&gt;"",VLOOKUP(B1100,Projetos!E:G,3,0))</f>
        <v>PDE_Serra_Verde</v>
      </c>
      <c r="E1100" s="81" t="s">
        <v>40</v>
      </c>
      <c r="F1100" s="71" t="s">
        <v>569</v>
      </c>
      <c r="G1100" s="41" t="s">
        <v>66</v>
      </c>
      <c r="H1100" s="42">
        <v>45518</v>
      </c>
      <c r="I1100" s="59">
        <v>0.14583333333333334</v>
      </c>
      <c r="J1100" s="66" t="s">
        <v>14</v>
      </c>
      <c r="K1100" s="22"/>
    </row>
    <row r="1101" spans="2:11">
      <c r="B1101" s="22" t="s">
        <v>156</v>
      </c>
      <c r="C1101" s="28">
        <f>IF(B1101&lt;&gt;"",VLOOKUP(B1101,Projetos!E:F,2,0),"")</f>
        <v>3</v>
      </c>
      <c r="D1101" s="44" t="str">
        <f>IF(B1101&lt;&gt;"",VLOOKUP(B1101,Projetos!E:G,3,0))</f>
        <v>PDE_Serra_Verde</v>
      </c>
      <c r="E1101" s="81" t="s">
        <v>40</v>
      </c>
      <c r="F1101" s="71" t="s">
        <v>570</v>
      </c>
      <c r="G1101" s="41" t="s">
        <v>66</v>
      </c>
      <c r="H1101" s="42">
        <v>45518</v>
      </c>
      <c r="I1101" s="59">
        <v>6.25E-2</v>
      </c>
      <c r="J1101" s="66" t="s">
        <v>14</v>
      </c>
      <c r="K1101" s="22"/>
    </row>
    <row r="1102" spans="2:11">
      <c r="B1102" s="22" t="s">
        <v>156</v>
      </c>
      <c r="C1102" s="28">
        <f>IF(B1102&lt;&gt;"",VLOOKUP(B1102,Projetos!E:F,2,0),"")</f>
        <v>3</v>
      </c>
      <c r="D1102" s="44" t="str">
        <f>IF(B1102&lt;&gt;"",VLOOKUP(B1102,Projetos!E:G,3,0))</f>
        <v>PDE_Serra_Verde</v>
      </c>
      <c r="E1102" s="54" t="s">
        <v>16</v>
      </c>
      <c r="F1102" s="83" t="s">
        <v>571</v>
      </c>
      <c r="G1102" s="35" t="s">
        <v>528</v>
      </c>
      <c r="H1102" s="42">
        <v>45518</v>
      </c>
      <c r="I1102" s="59">
        <v>6.25E-2</v>
      </c>
      <c r="J1102" s="66" t="s">
        <v>14</v>
      </c>
      <c r="K1102" s="22"/>
    </row>
    <row r="1103" spans="2:11">
      <c r="B1103" s="22" t="s">
        <v>192</v>
      </c>
      <c r="C1103" s="28">
        <f>IF(B1103&lt;&gt;"",VLOOKUP(B1103,Projetos!E:F,2,0),"")</f>
        <v>32</v>
      </c>
      <c r="D1103" s="44" t="str">
        <f>IF(B1103&lt;&gt;"",VLOOKUP(B1103,Projetos!E:G,3,0))</f>
        <v>Treinamentos_e_Capacitações</v>
      </c>
      <c r="E1103" s="54" t="s">
        <v>193</v>
      </c>
      <c r="F1103" s="71" t="s">
        <v>572</v>
      </c>
      <c r="G1103" s="35" t="s">
        <v>528</v>
      </c>
      <c r="H1103" s="42">
        <v>45518</v>
      </c>
      <c r="I1103" s="59">
        <v>4.1666666666666664E-2</v>
      </c>
      <c r="J1103" s="66" t="s">
        <v>14</v>
      </c>
      <c r="K1103" s="22"/>
    </row>
    <row r="1104" spans="2:11" ht="30">
      <c r="B1104" s="22" t="s">
        <v>192</v>
      </c>
      <c r="C1104" s="28">
        <f>IF(B1104&lt;&gt;"",VLOOKUP(B1104,Projetos!E:F,2,0),"")</f>
        <v>32</v>
      </c>
      <c r="D1104" s="44" t="str">
        <f>IF(B1104&lt;&gt;"",VLOOKUP(B1104,Projetos!E:G,3,0))</f>
        <v>Treinamentos_e_Capacitações</v>
      </c>
      <c r="E1104" s="54" t="s">
        <v>193</v>
      </c>
      <c r="F1104" s="71" t="s">
        <v>573</v>
      </c>
      <c r="G1104" s="35" t="s">
        <v>528</v>
      </c>
      <c r="H1104" s="42">
        <v>45518</v>
      </c>
      <c r="I1104" s="59">
        <v>0.10416666666666667</v>
      </c>
      <c r="J1104" s="66" t="s">
        <v>14</v>
      </c>
      <c r="K1104" s="22"/>
    </row>
    <row r="1105" spans="1:11">
      <c r="B1105" s="22" t="s">
        <v>192</v>
      </c>
      <c r="C1105" s="28">
        <f>IF(B1105&lt;&gt;"",VLOOKUP(B1105,Projetos!E:F,2,0),"")</f>
        <v>32</v>
      </c>
      <c r="D1105" s="44" t="str">
        <f>IF(B1105&lt;&gt;"",VLOOKUP(B1105,Projetos!E:G,3,0))</f>
        <v>Treinamentos_e_Capacitações</v>
      </c>
      <c r="E1105" s="54" t="s">
        <v>193</v>
      </c>
      <c r="F1105" s="71" t="s">
        <v>574</v>
      </c>
      <c r="G1105" s="35" t="s">
        <v>525</v>
      </c>
      <c r="H1105" s="42">
        <v>45518</v>
      </c>
      <c r="I1105" s="59">
        <v>0.125</v>
      </c>
      <c r="J1105" s="66" t="s">
        <v>14</v>
      </c>
      <c r="K1105" s="22"/>
    </row>
    <row r="1106" spans="1:11">
      <c r="B1106" s="22" t="s">
        <v>192</v>
      </c>
      <c r="C1106" s="28">
        <f>IF(B1106&lt;&gt;"",VLOOKUP(B1106,Projetos!E:F,2,0),"")</f>
        <v>32</v>
      </c>
      <c r="D1106" s="44" t="str">
        <f>IF(B1106&lt;&gt;"",VLOOKUP(B1106,Projetos!E:G,3,0))</f>
        <v>Treinamentos_e_Capacitações</v>
      </c>
      <c r="E1106" s="54" t="s">
        <v>193</v>
      </c>
      <c r="F1106" s="71" t="s">
        <v>572</v>
      </c>
      <c r="G1106" s="35" t="s">
        <v>525</v>
      </c>
      <c r="H1106" s="42">
        <v>45518</v>
      </c>
      <c r="I1106" s="59">
        <v>0.125</v>
      </c>
      <c r="J1106" s="66" t="s">
        <v>14</v>
      </c>
      <c r="K1106" s="22"/>
    </row>
    <row r="1107" spans="1:11" ht="45">
      <c r="B1107" s="22" t="s">
        <v>192</v>
      </c>
      <c r="C1107" s="28">
        <f>IF(B1107&lt;&gt;"",VLOOKUP(B1107,Projetos!E:F,2,0),"")</f>
        <v>32</v>
      </c>
      <c r="D1107" s="44" t="str">
        <f>IF(B1107&lt;&gt;"",VLOOKUP(B1107,Projetos!E:G,3,0))</f>
        <v>Treinamentos_e_Capacitações</v>
      </c>
      <c r="E1107" s="94" t="s">
        <v>193</v>
      </c>
      <c r="F1107" s="71" t="s">
        <v>575</v>
      </c>
      <c r="G1107" s="35" t="s">
        <v>42</v>
      </c>
      <c r="H1107" s="42">
        <v>45518</v>
      </c>
      <c r="I1107" s="59">
        <v>8.3333333333333329E-2</v>
      </c>
      <c r="J1107" s="66" t="s">
        <v>14</v>
      </c>
      <c r="K1107" s="22"/>
    </row>
    <row r="1108" spans="1:11" s="95" customFormat="1">
      <c r="A1108"/>
      <c r="B1108" s="22" t="s">
        <v>192</v>
      </c>
      <c r="C1108" s="28">
        <f>IF(B1108&lt;&gt;"",VLOOKUP(B1108,Projetos!E:F,2,0),"")</f>
        <v>32</v>
      </c>
      <c r="D1108" s="44"/>
      <c r="E1108" s="54" t="s">
        <v>193</v>
      </c>
      <c r="F1108" s="71" t="s">
        <v>576</v>
      </c>
      <c r="G1108" s="35" t="s">
        <v>528</v>
      </c>
      <c r="H1108" s="42">
        <v>45519</v>
      </c>
      <c r="I1108" s="59">
        <v>0.20833333333333334</v>
      </c>
      <c r="J1108" s="66" t="s">
        <v>14</v>
      </c>
      <c r="K1108" s="22"/>
    </row>
    <row r="1109" spans="1:11" s="95" customFormat="1">
      <c r="A1109"/>
      <c r="B1109" s="22" t="s">
        <v>192</v>
      </c>
      <c r="C1109" s="28">
        <f>IF(B1109&lt;&gt;"",VLOOKUP(B1109,Projetos!E:F,2,0),"")</f>
        <v>32</v>
      </c>
      <c r="D1109" s="44"/>
      <c r="E1109" s="22" t="s">
        <v>193</v>
      </c>
      <c r="F1109" s="71" t="s">
        <v>577</v>
      </c>
      <c r="G1109" s="35" t="s">
        <v>525</v>
      </c>
      <c r="H1109" s="42">
        <v>45519</v>
      </c>
      <c r="I1109" s="59">
        <v>0.25</v>
      </c>
      <c r="J1109" s="66" t="s">
        <v>14</v>
      </c>
      <c r="K1109" s="22"/>
    </row>
    <row r="1110" spans="1:11" ht="30">
      <c r="B1110" s="22" t="s">
        <v>192</v>
      </c>
      <c r="C1110" s="28">
        <f>IF(B1110&lt;&gt;"",VLOOKUP(B1110,Projetos!E:F,2,0),"")</f>
        <v>32</v>
      </c>
      <c r="D1110" s="87"/>
      <c r="E1110" s="22" t="s">
        <v>40</v>
      </c>
      <c r="F1110" s="96" t="s">
        <v>578</v>
      </c>
      <c r="G1110" s="35" t="s">
        <v>42</v>
      </c>
      <c r="H1110" s="42">
        <v>45519</v>
      </c>
      <c r="I1110" s="59">
        <v>0.16666666666666666</v>
      </c>
      <c r="J1110" s="66" t="s">
        <v>14</v>
      </c>
      <c r="K1110" s="22"/>
    </row>
    <row r="1111" spans="1:11">
      <c r="B1111" s="22" t="s">
        <v>385</v>
      </c>
      <c r="C1111" s="28">
        <f>IF(B1111&lt;&gt;"",VLOOKUP(B1111,Projetos!E:F,2,0),"")</f>
        <v>48</v>
      </c>
      <c r="D1111" s="87"/>
      <c r="E1111" s="22" t="s">
        <v>40</v>
      </c>
      <c r="F1111" s="96" t="s">
        <v>579</v>
      </c>
      <c r="G1111" s="35" t="s">
        <v>42</v>
      </c>
      <c r="H1111" s="42">
        <v>45520</v>
      </c>
      <c r="I1111" s="59">
        <v>0.16666666666666666</v>
      </c>
      <c r="J1111" s="66" t="s">
        <v>14</v>
      </c>
      <c r="K1111" s="22"/>
    </row>
    <row r="1112" spans="1:11">
      <c r="B1112" s="22" t="s">
        <v>140</v>
      </c>
      <c r="C1112" s="28">
        <f>IF(B1112&lt;&gt;"",VLOOKUP(B1112,Projetos!E:F,2,0),"")</f>
        <v>39</v>
      </c>
      <c r="D1112" s="87"/>
      <c r="E1112" s="22" t="s">
        <v>40</v>
      </c>
      <c r="F1112" s="96" t="s">
        <v>580</v>
      </c>
      <c r="G1112" s="35" t="s">
        <v>64</v>
      </c>
      <c r="H1112" s="42">
        <v>45520</v>
      </c>
      <c r="I1112" s="59">
        <v>0.16666666666666666</v>
      </c>
      <c r="J1112" s="66" t="s">
        <v>14</v>
      </c>
      <c r="K1112" s="22"/>
    </row>
    <row r="1113" spans="1:11">
      <c r="B1113" s="22" t="s">
        <v>192</v>
      </c>
      <c r="C1113" s="28">
        <f>IF(B1113&lt;&gt;"",VLOOKUP(B1113,Projetos!E:F,2,0),"")</f>
        <v>32</v>
      </c>
      <c r="D1113" s="87"/>
      <c r="E1113" s="22" t="s">
        <v>193</v>
      </c>
      <c r="F1113" s="96" t="s">
        <v>581</v>
      </c>
      <c r="G1113" s="35" t="s">
        <v>64</v>
      </c>
      <c r="H1113" s="42">
        <v>45520</v>
      </c>
      <c r="I1113" s="59">
        <v>0.16666666666666666</v>
      </c>
      <c r="J1113" s="66" t="s">
        <v>14</v>
      </c>
      <c r="K1113" s="22"/>
    </row>
    <row r="1114" spans="1:11">
      <c r="B1114" s="22" t="s">
        <v>176</v>
      </c>
      <c r="C1114" s="28">
        <f>IF(B1114&lt;&gt;"",VLOOKUP(B1114,Projetos!E:F,2,0),"")</f>
        <v>31</v>
      </c>
      <c r="D1114" s="87"/>
      <c r="E1114" s="22" t="s">
        <v>16</v>
      </c>
      <c r="F1114" s="96" t="s">
        <v>582</v>
      </c>
      <c r="G1114" s="35" t="s">
        <v>20</v>
      </c>
      <c r="H1114" s="42">
        <v>45524</v>
      </c>
      <c r="I1114" s="59">
        <v>0.66666666666666663</v>
      </c>
      <c r="J1114" s="66" t="s">
        <v>14</v>
      </c>
      <c r="K1114" s="22"/>
    </row>
    <row r="1115" spans="1:11">
      <c r="B1115" s="22" t="s">
        <v>156</v>
      </c>
      <c r="C1115" s="28">
        <f>IF(B1115&lt;&gt;"",VLOOKUP(B1115,Projetos!E:F,2,0),"")</f>
        <v>3</v>
      </c>
      <c r="D1115" s="87"/>
      <c r="E1115" s="22" t="s">
        <v>40</v>
      </c>
      <c r="F1115" s="96" t="s">
        <v>583</v>
      </c>
      <c r="G1115" s="35" t="s">
        <v>66</v>
      </c>
      <c r="H1115" s="42">
        <v>45519</v>
      </c>
      <c r="I1115" s="59">
        <v>0.25</v>
      </c>
      <c r="J1115" s="66" t="s">
        <v>14</v>
      </c>
      <c r="K1115" s="22"/>
    </row>
    <row r="1116" spans="1:11">
      <c r="B1116" s="22" t="s">
        <v>156</v>
      </c>
      <c r="C1116" s="28">
        <f>IF(B1116&lt;&gt;"",VLOOKUP(B1116,Projetos!E:F,2,0),"")</f>
        <v>3</v>
      </c>
      <c r="D1116" s="87"/>
      <c r="E1116" s="22" t="s">
        <v>40</v>
      </c>
      <c r="F1116" s="96" t="s">
        <v>583</v>
      </c>
      <c r="G1116" s="35" t="s">
        <v>66</v>
      </c>
      <c r="H1116" s="42">
        <v>45520</v>
      </c>
      <c r="I1116" s="59">
        <v>0.25</v>
      </c>
      <c r="J1116" s="66" t="s">
        <v>14</v>
      </c>
      <c r="K1116" s="22"/>
    </row>
    <row r="1117" spans="1:11">
      <c r="B1117" s="22" t="s">
        <v>156</v>
      </c>
      <c r="C1117" s="28">
        <f>IF(B1117&lt;&gt;"",VLOOKUP(B1117,Projetos!E:F,2,0),"")</f>
        <v>3</v>
      </c>
      <c r="D1117" s="87"/>
      <c r="E1117" s="22" t="s">
        <v>40</v>
      </c>
      <c r="F1117" s="96" t="s">
        <v>584</v>
      </c>
      <c r="G1117" s="35" t="s">
        <v>528</v>
      </c>
      <c r="H1117" s="42">
        <v>45520</v>
      </c>
      <c r="I1117" s="59">
        <v>6.25E-2</v>
      </c>
      <c r="J1117" s="66" t="s">
        <v>14</v>
      </c>
      <c r="K1117" s="22"/>
    </row>
    <row r="1118" spans="1:11" ht="30">
      <c r="B1118" s="22" t="s">
        <v>192</v>
      </c>
      <c r="C1118" s="28">
        <f>IF(B1118&lt;&gt;"",VLOOKUP(B1118,Projetos!E:F,2,0),"")</f>
        <v>32</v>
      </c>
      <c r="D1118" s="87"/>
      <c r="E1118" s="22" t="s">
        <v>193</v>
      </c>
      <c r="F1118" s="96" t="s">
        <v>585</v>
      </c>
      <c r="G1118" s="35" t="s">
        <v>528</v>
      </c>
      <c r="H1118" s="42">
        <v>45520</v>
      </c>
      <c r="I1118" s="59">
        <v>0.14583333333333334</v>
      </c>
      <c r="J1118" s="66" t="s">
        <v>14</v>
      </c>
      <c r="K1118" s="22"/>
    </row>
    <row r="1119" spans="1:11">
      <c r="B1119" s="22" t="s">
        <v>192</v>
      </c>
      <c r="C1119" s="28">
        <f>IF(B1119&lt;&gt;"",VLOOKUP(B1119,Projetos!E:F,2,0),"")</f>
        <v>32</v>
      </c>
      <c r="D1119" s="87"/>
      <c r="E1119" s="22" t="s">
        <v>193</v>
      </c>
      <c r="F1119" s="96" t="s">
        <v>584</v>
      </c>
      <c r="G1119" s="35" t="s">
        <v>525</v>
      </c>
      <c r="H1119" s="42">
        <v>45520</v>
      </c>
      <c r="I1119" s="59">
        <v>6.25E-2</v>
      </c>
      <c r="J1119" s="66" t="s">
        <v>14</v>
      </c>
      <c r="K1119" s="22"/>
    </row>
    <row r="1120" spans="1:11">
      <c r="B1120" s="22" t="s">
        <v>192</v>
      </c>
      <c r="C1120" s="28">
        <f>IF(B1120&lt;&gt;"",VLOOKUP(B1120,Projetos!E:F,2,0),"")</f>
        <v>32</v>
      </c>
      <c r="D1120" s="87"/>
      <c r="E1120" s="22" t="s">
        <v>193</v>
      </c>
      <c r="F1120" s="96" t="s">
        <v>586</v>
      </c>
      <c r="G1120" s="35" t="s">
        <v>525</v>
      </c>
      <c r="H1120" s="42">
        <v>45520</v>
      </c>
      <c r="I1120" s="59">
        <v>0.1875</v>
      </c>
      <c r="J1120" s="66" t="s">
        <v>14</v>
      </c>
      <c r="K1120" s="22"/>
    </row>
    <row r="1121" spans="2:11" ht="30">
      <c r="B1121" s="22" t="s">
        <v>15</v>
      </c>
      <c r="C1121" s="28">
        <f>IF(B1121&lt;&gt;"",VLOOKUP(B1121,Projetos!E:F,2,0),"")</f>
        <v>10</v>
      </c>
      <c r="D1121" s="87"/>
      <c r="E1121" s="22" t="s">
        <v>49</v>
      </c>
      <c r="F1121" s="96" t="s">
        <v>587</v>
      </c>
      <c r="G1121" s="35" t="s">
        <v>19</v>
      </c>
      <c r="H1121" s="42">
        <v>45523</v>
      </c>
      <c r="I1121" s="59">
        <v>8.3333333333333329E-2</v>
      </c>
      <c r="J1121" s="66" t="s">
        <v>14</v>
      </c>
      <c r="K1121" s="22"/>
    </row>
    <row r="1122" spans="2:11" ht="45">
      <c r="B1122" s="22" t="s">
        <v>61</v>
      </c>
      <c r="C1122" s="28">
        <f>IF(B1122&lt;&gt;"",VLOOKUP(B1122,Projetos!E:F,2,0),"")</f>
        <v>11</v>
      </c>
      <c r="D1122" s="87"/>
      <c r="E1122" s="22" t="s">
        <v>11</v>
      </c>
      <c r="F1122" s="96" t="s">
        <v>588</v>
      </c>
      <c r="G1122" s="35" t="s">
        <v>19</v>
      </c>
      <c r="H1122" s="42">
        <v>45523</v>
      </c>
      <c r="I1122" s="59">
        <v>8.3333333333333329E-2</v>
      </c>
      <c r="J1122" s="66" t="s">
        <v>14</v>
      </c>
      <c r="K1122" s="22"/>
    </row>
    <row r="1123" spans="2:11" ht="30">
      <c r="B1123" s="22" t="s">
        <v>61</v>
      </c>
      <c r="C1123" s="28">
        <f>IF(B1123&lt;&gt;"",VLOOKUP(B1123,Projetos!E:F,2,0),"")</f>
        <v>11</v>
      </c>
      <c r="D1123" s="87"/>
      <c r="E1123" s="22" t="s">
        <v>11</v>
      </c>
      <c r="F1123" s="96" t="s">
        <v>589</v>
      </c>
      <c r="G1123" s="35" t="s">
        <v>19</v>
      </c>
      <c r="H1123" s="42">
        <v>45523</v>
      </c>
      <c r="I1123" s="59">
        <v>4.1666666666666664E-2</v>
      </c>
      <c r="J1123" s="66" t="s">
        <v>14</v>
      </c>
      <c r="K1123" s="22"/>
    </row>
    <row r="1124" spans="2:11" ht="30">
      <c r="B1124" s="22" t="s">
        <v>61</v>
      </c>
      <c r="C1124" s="28">
        <f>IF(B1124&lt;&gt;"",VLOOKUP(B1124,Projetos!E:F,2,0),"")</f>
        <v>11</v>
      </c>
      <c r="D1124" s="87"/>
      <c r="E1124" s="22" t="s">
        <v>21</v>
      </c>
      <c r="F1124" s="96" t="s">
        <v>590</v>
      </c>
      <c r="G1124" s="35" t="s">
        <v>19</v>
      </c>
      <c r="H1124" s="42"/>
      <c r="I1124" s="59"/>
      <c r="J1124" s="66"/>
      <c r="K1124" s="22"/>
    </row>
    <row r="1125" spans="2:11" ht="30">
      <c r="B1125" s="22" t="s">
        <v>61</v>
      </c>
      <c r="C1125" s="28">
        <f>IF(B1125&lt;&gt;"",VLOOKUP(B1125,Projetos!E:F,2,0),"")</f>
        <v>11</v>
      </c>
      <c r="D1125" s="87"/>
      <c r="E1125" s="22" t="s">
        <v>11</v>
      </c>
      <c r="F1125" s="96" t="s">
        <v>589</v>
      </c>
      <c r="G1125" s="35" t="s">
        <v>525</v>
      </c>
      <c r="H1125" s="42">
        <v>45523</v>
      </c>
      <c r="I1125" s="59">
        <v>8.3333333333333329E-2</v>
      </c>
      <c r="J1125" s="66" t="s">
        <v>14</v>
      </c>
      <c r="K1125" s="22"/>
    </row>
    <row r="1126" spans="2:11" ht="30">
      <c r="B1126" s="22" t="s">
        <v>61</v>
      </c>
      <c r="C1126" s="28">
        <f>IF(B1126&lt;&gt;"",VLOOKUP(B1126,Projetos!E:F,2,0),"")</f>
        <v>11</v>
      </c>
      <c r="D1126" s="87"/>
      <c r="E1126" s="22" t="s">
        <v>11</v>
      </c>
      <c r="F1126" s="96" t="s">
        <v>589</v>
      </c>
      <c r="G1126" s="35" t="s">
        <v>525</v>
      </c>
      <c r="H1126" s="42">
        <v>45523</v>
      </c>
      <c r="I1126" s="59">
        <v>4.1666666666666664E-2</v>
      </c>
      <c r="J1126" s="66" t="s">
        <v>14</v>
      </c>
      <c r="K1126" s="22"/>
    </row>
    <row r="1127" spans="2:11">
      <c r="B1127" s="22" t="s">
        <v>192</v>
      </c>
      <c r="C1127" s="28">
        <f>IF(B1127&lt;&gt;"",VLOOKUP(B1127,Projetos!E:F,2,0),"")</f>
        <v>32</v>
      </c>
      <c r="D1127" s="87"/>
      <c r="E1127" s="22" t="s">
        <v>193</v>
      </c>
      <c r="F1127" s="96" t="s">
        <v>591</v>
      </c>
      <c r="G1127" s="35" t="s">
        <v>525</v>
      </c>
      <c r="H1127" s="42">
        <v>45523</v>
      </c>
      <c r="I1127" s="59">
        <v>0.125</v>
      </c>
      <c r="J1127" s="66" t="s">
        <v>14</v>
      </c>
      <c r="K1127" s="22"/>
    </row>
    <row r="1128" spans="2:11" ht="30">
      <c r="B1128" s="22" t="s">
        <v>61</v>
      </c>
      <c r="C1128" s="28">
        <f>IF(B1128&lt;&gt;"",VLOOKUP(B1128,Projetos!E:F,2,0),"")</f>
        <v>11</v>
      </c>
      <c r="D1128" s="87"/>
      <c r="E1128" s="22" t="s">
        <v>11</v>
      </c>
      <c r="F1128" s="96" t="s">
        <v>589</v>
      </c>
      <c r="G1128" s="35" t="s">
        <v>528</v>
      </c>
      <c r="H1128" s="42">
        <v>45523</v>
      </c>
      <c r="I1128" s="59">
        <v>4.1666666666666664E-2</v>
      </c>
      <c r="J1128" s="66" t="s">
        <v>14</v>
      </c>
      <c r="K1128" s="22"/>
    </row>
    <row r="1129" spans="2:11" ht="45">
      <c r="B1129" s="22" t="s">
        <v>61</v>
      </c>
      <c r="C1129" s="28">
        <f>IF(B1129&lt;&gt;"",VLOOKUP(B1129,Projetos!E:F,2,0),"")</f>
        <v>11</v>
      </c>
      <c r="D1129" s="87"/>
      <c r="E1129" s="22" t="s">
        <v>11</v>
      </c>
      <c r="F1129" s="96" t="s">
        <v>588</v>
      </c>
      <c r="G1129" s="35" t="s">
        <v>528</v>
      </c>
      <c r="H1129" s="42">
        <v>45523</v>
      </c>
      <c r="I1129" s="59">
        <v>8.3333333333333329E-2</v>
      </c>
      <c r="J1129" s="66" t="s">
        <v>14</v>
      </c>
      <c r="K1129" s="22"/>
    </row>
    <row r="1130" spans="2:11" ht="30">
      <c r="B1130" s="22" t="s">
        <v>192</v>
      </c>
      <c r="C1130" s="28">
        <f>IF(B1130&lt;&gt;"",VLOOKUP(B1130,Projetos!E:F,2,0),"")</f>
        <v>32</v>
      </c>
      <c r="D1130" s="87"/>
      <c r="E1130" s="22" t="s">
        <v>193</v>
      </c>
      <c r="F1130" s="96" t="s">
        <v>592</v>
      </c>
      <c r="G1130" s="35" t="s">
        <v>528</v>
      </c>
      <c r="H1130" s="42">
        <v>45523</v>
      </c>
      <c r="I1130" s="59">
        <v>8.3333333333333329E-2</v>
      </c>
      <c r="J1130" s="66" t="s">
        <v>14</v>
      </c>
      <c r="K1130" s="22"/>
    </row>
    <row r="1131" spans="2:11" ht="15" customHeight="1">
      <c r="B1131" s="22" t="s">
        <v>156</v>
      </c>
      <c r="C1131" s="28">
        <f>IF(B1131&lt;&gt;"",VLOOKUP(B1131,Projetos!E:F,2,0),"")</f>
        <v>3</v>
      </c>
      <c r="D1131" s="87"/>
      <c r="E1131" s="22" t="s">
        <v>40</v>
      </c>
      <c r="F1131" s="96" t="s">
        <v>583</v>
      </c>
      <c r="G1131" s="35" t="s">
        <v>66</v>
      </c>
      <c r="H1131" s="42">
        <v>45523</v>
      </c>
      <c r="I1131" s="59">
        <v>0.16666666666666666</v>
      </c>
      <c r="J1131" s="66" t="s">
        <v>14</v>
      </c>
      <c r="K1131" s="22"/>
    </row>
    <row r="1132" spans="2:11" ht="12.75" customHeight="1">
      <c r="B1132" s="22" t="s">
        <v>61</v>
      </c>
      <c r="C1132" s="28">
        <f>IF(B1132&lt;&gt;"",VLOOKUP(B1132,Projetos!E:F,2,0),"")</f>
        <v>11</v>
      </c>
      <c r="D1132" s="87"/>
      <c r="E1132" s="22" t="s">
        <v>11</v>
      </c>
      <c r="F1132" s="96" t="s">
        <v>588</v>
      </c>
      <c r="G1132" s="35" t="s">
        <v>66</v>
      </c>
      <c r="H1132" s="42">
        <v>45523</v>
      </c>
      <c r="I1132" s="59">
        <v>8.3333333333333329E-2</v>
      </c>
      <c r="J1132" s="66" t="s">
        <v>14</v>
      </c>
      <c r="K1132" s="22"/>
    </row>
    <row r="1133" spans="2:11" ht="30">
      <c r="B1133" s="22" t="s">
        <v>385</v>
      </c>
      <c r="C1133" s="28">
        <f>IF(B1133&lt;&gt;"",VLOOKUP(B1133,Projetos!E:F,2,0),"")</f>
        <v>48</v>
      </c>
      <c r="D1133" s="87"/>
      <c r="E1133" s="22" t="s">
        <v>40</v>
      </c>
      <c r="F1133" s="96" t="s">
        <v>593</v>
      </c>
      <c r="G1133" s="35" t="s">
        <v>42</v>
      </c>
      <c r="H1133" s="42">
        <v>45523</v>
      </c>
      <c r="I1133" s="59">
        <v>0.25</v>
      </c>
      <c r="J1133" s="66" t="s">
        <v>14</v>
      </c>
      <c r="K1133" s="22"/>
    </row>
    <row r="1134" spans="2:11" ht="30">
      <c r="B1134" s="22" t="s">
        <v>61</v>
      </c>
      <c r="C1134" s="28">
        <f>IF(B1134&lt;&gt;"",VLOOKUP(B1134,Projetos!E:F,2,0),"")</f>
        <v>11</v>
      </c>
      <c r="D1134" s="87"/>
      <c r="E1134" s="22" t="s">
        <v>11</v>
      </c>
      <c r="F1134" s="96" t="s">
        <v>589</v>
      </c>
      <c r="G1134" s="35" t="s">
        <v>42</v>
      </c>
      <c r="H1134" s="42">
        <v>45523</v>
      </c>
      <c r="I1134" s="59">
        <v>8.3333333333333329E-2</v>
      </c>
      <c r="J1134" s="66" t="s">
        <v>14</v>
      </c>
      <c r="K1134" s="22"/>
    </row>
    <row r="1135" spans="2:11">
      <c r="B1135" s="22" t="s">
        <v>385</v>
      </c>
      <c r="C1135" s="28">
        <f>IF(B1135&lt;&gt;"",VLOOKUP(B1135,Projetos!E:F,2,0),"")</f>
        <v>48</v>
      </c>
      <c r="D1135" s="87"/>
      <c r="E1135" s="22" t="s">
        <v>40</v>
      </c>
      <c r="F1135" s="96" t="s">
        <v>594</v>
      </c>
      <c r="G1135" s="35" t="s">
        <v>42</v>
      </c>
      <c r="H1135" s="42">
        <v>45524</v>
      </c>
      <c r="I1135" s="59">
        <v>0.16666666666666666</v>
      </c>
      <c r="J1135" s="66" t="s">
        <v>14</v>
      </c>
      <c r="K1135" s="22"/>
    </row>
    <row r="1136" spans="2:11">
      <c r="B1136" s="22" t="s">
        <v>85</v>
      </c>
      <c r="C1136" s="28">
        <f>IF(B1136&lt;&gt;"",VLOOKUP(B1136,Projetos!E:F,2,0),"")</f>
        <v>1</v>
      </c>
      <c r="D1136" s="87"/>
      <c r="E1136" s="22" t="s">
        <v>40</v>
      </c>
      <c r="F1136" s="96" t="s">
        <v>595</v>
      </c>
      <c r="G1136" s="35" t="s">
        <v>42</v>
      </c>
      <c r="H1136" s="42">
        <v>45524</v>
      </c>
      <c r="I1136" s="59">
        <v>0.125</v>
      </c>
      <c r="J1136" s="66" t="s">
        <v>14</v>
      </c>
      <c r="K1136" s="22"/>
    </row>
    <row r="1137" spans="2:11">
      <c r="B1137" s="22" t="s">
        <v>136</v>
      </c>
      <c r="C1137" s="28">
        <f>IF(B1137&lt;&gt;"",VLOOKUP(B1137,Projetos!E:F,2,0),"")</f>
        <v>25</v>
      </c>
      <c r="D1137" s="87"/>
      <c r="E1137" s="22" t="s">
        <v>40</v>
      </c>
      <c r="F1137" s="96" t="s">
        <v>596</v>
      </c>
      <c r="G1137" s="35" t="s">
        <v>66</v>
      </c>
      <c r="H1137" s="42">
        <v>45524</v>
      </c>
      <c r="I1137" s="59">
        <v>2.0833333333333332E-2</v>
      </c>
      <c r="J1137" s="66" t="s">
        <v>14</v>
      </c>
      <c r="K1137" s="22"/>
    </row>
    <row r="1138" spans="2:11">
      <c r="B1138" s="22" t="s">
        <v>156</v>
      </c>
      <c r="C1138" s="28">
        <f>IF(B1138&lt;&gt;"",VLOOKUP(B1138,Projetos!E:F,2,0),"")</f>
        <v>3</v>
      </c>
      <c r="D1138" s="87"/>
      <c r="E1138" s="22" t="s">
        <v>40</v>
      </c>
      <c r="F1138" s="96" t="s">
        <v>597</v>
      </c>
      <c r="G1138" s="35" t="s">
        <v>66</v>
      </c>
      <c r="H1138" s="42">
        <v>45524</v>
      </c>
      <c r="I1138" s="59">
        <v>0.10416666666666667</v>
      </c>
      <c r="J1138" s="66" t="s">
        <v>14</v>
      </c>
      <c r="K1138" s="22"/>
    </row>
    <row r="1139" spans="2:11" ht="30">
      <c r="B1139" s="22" t="s">
        <v>192</v>
      </c>
      <c r="C1139" s="28">
        <f>IF(B1139&lt;&gt;"",VLOOKUP(B1139,Projetos!E:F,2,0),"")</f>
        <v>32</v>
      </c>
      <c r="D1139" s="87"/>
      <c r="E1139" s="22" t="s">
        <v>193</v>
      </c>
      <c r="F1139" s="96" t="s">
        <v>598</v>
      </c>
      <c r="G1139" s="35" t="s">
        <v>525</v>
      </c>
      <c r="H1139" s="42">
        <v>45524</v>
      </c>
      <c r="I1139" s="59">
        <v>0.25</v>
      </c>
      <c r="J1139" s="66" t="s">
        <v>14</v>
      </c>
      <c r="K1139" s="22"/>
    </row>
    <row r="1140" spans="2:11">
      <c r="B1140" s="22" t="s">
        <v>192</v>
      </c>
      <c r="C1140" s="28">
        <f>IF(B1140&lt;&gt;"",VLOOKUP(B1140,Projetos!E:F,2,0),"")</f>
        <v>32</v>
      </c>
      <c r="D1140" s="87"/>
      <c r="E1140" s="22" t="s">
        <v>193</v>
      </c>
      <c r="F1140" s="96" t="s">
        <v>599</v>
      </c>
      <c r="G1140" s="35" t="s">
        <v>528</v>
      </c>
      <c r="H1140" s="42">
        <v>45524</v>
      </c>
      <c r="I1140" s="59">
        <v>0.20833333333333334</v>
      </c>
      <c r="J1140" s="66" t="s">
        <v>14</v>
      </c>
      <c r="K1140" s="22"/>
    </row>
    <row r="1141" spans="2:11">
      <c r="B1141" s="22" t="s">
        <v>176</v>
      </c>
      <c r="C1141" s="28">
        <f>IF(B1141&lt;&gt;"",VLOOKUP(B1141,Projetos!E:F,2,0),"")</f>
        <v>31</v>
      </c>
      <c r="D1141" s="87"/>
      <c r="E1141" s="22" t="s">
        <v>193</v>
      </c>
      <c r="F1141" s="96" t="s">
        <v>600</v>
      </c>
      <c r="G1141" s="35" t="s">
        <v>64</v>
      </c>
      <c r="H1141" s="42">
        <v>45524</v>
      </c>
      <c r="I1141" s="59">
        <v>0.58333333333333337</v>
      </c>
      <c r="J1141" s="66" t="s">
        <v>14</v>
      </c>
      <c r="K1141" s="22"/>
    </row>
    <row r="1142" spans="2:11">
      <c r="B1142" s="22" t="s">
        <v>192</v>
      </c>
      <c r="C1142" s="28">
        <f>IF(B1142&lt;&gt;"",VLOOKUP(B1142,Projetos!E:F,2,0),"")</f>
        <v>32</v>
      </c>
      <c r="D1142" s="87"/>
      <c r="E1142" s="22" t="s">
        <v>193</v>
      </c>
      <c r="F1142" s="96" t="s">
        <v>601</v>
      </c>
      <c r="G1142" s="35" t="s">
        <v>64</v>
      </c>
      <c r="H1142" s="42">
        <v>45525</v>
      </c>
      <c r="I1142" s="59">
        <v>4.1666666666666664E-2</v>
      </c>
      <c r="J1142" s="66" t="s">
        <v>14</v>
      </c>
      <c r="K1142" s="22"/>
    </row>
    <row r="1143" spans="2:11">
      <c r="B1143" s="22" t="s">
        <v>61</v>
      </c>
      <c r="C1143" s="28">
        <f>IF(B1143&lt;&gt;"",VLOOKUP(B1143,Projetos!E:F,2,0),"")</f>
        <v>11</v>
      </c>
      <c r="D1143" s="87"/>
      <c r="E1143" s="22" t="s">
        <v>16</v>
      </c>
      <c r="F1143" s="96" t="s">
        <v>602</v>
      </c>
      <c r="G1143" s="35" t="s">
        <v>64</v>
      </c>
      <c r="H1143" s="42">
        <v>45525</v>
      </c>
      <c r="I1143" s="59">
        <v>0.125</v>
      </c>
      <c r="J1143" s="66" t="s">
        <v>14</v>
      </c>
      <c r="K1143" s="22"/>
    </row>
    <row r="1144" spans="2:11" ht="30">
      <c r="B1144" s="22" t="s">
        <v>192</v>
      </c>
      <c r="C1144" s="28">
        <f>IF(B1144&lt;&gt;"",VLOOKUP(B1144,Projetos!E:F,2,0),"")</f>
        <v>32</v>
      </c>
      <c r="D1144" s="87"/>
      <c r="E1144" s="22" t="s">
        <v>193</v>
      </c>
      <c r="F1144" s="96" t="s">
        <v>603</v>
      </c>
      <c r="G1144" s="35" t="s">
        <v>528</v>
      </c>
      <c r="H1144" s="42">
        <v>45525</v>
      </c>
      <c r="I1144" s="59">
        <v>0.20833333333333334</v>
      </c>
      <c r="J1144" s="66" t="s">
        <v>14</v>
      </c>
      <c r="K1144" s="22"/>
    </row>
    <row r="1145" spans="2:11">
      <c r="B1145" s="22" t="s">
        <v>192</v>
      </c>
      <c r="C1145" s="28">
        <f>IF(B1145&lt;&gt;"",VLOOKUP(B1145,Projetos!E:F,2,0),"")</f>
        <v>32</v>
      </c>
      <c r="D1145" s="87"/>
      <c r="E1145" s="22" t="s">
        <v>193</v>
      </c>
      <c r="F1145" s="96" t="s">
        <v>604</v>
      </c>
      <c r="G1145" s="35" t="s">
        <v>525</v>
      </c>
      <c r="H1145" s="42">
        <v>45525</v>
      </c>
      <c r="I1145" s="59">
        <v>0.25</v>
      </c>
      <c r="J1145" s="66" t="s">
        <v>14</v>
      </c>
      <c r="K1145" s="22"/>
    </row>
    <row r="1146" spans="2:11">
      <c r="B1146" s="22" t="s">
        <v>176</v>
      </c>
      <c r="C1146" s="28">
        <f>IF(B1146&lt;&gt;"",VLOOKUP(B1146,Projetos!E:F,2,0),"")</f>
        <v>31</v>
      </c>
      <c r="D1146" s="87"/>
      <c r="E1146" s="22" t="s">
        <v>193</v>
      </c>
      <c r="F1146" s="96" t="s">
        <v>605</v>
      </c>
      <c r="G1146" s="35" t="s">
        <v>42</v>
      </c>
      <c r="H1146" s="42">
        <v>45525</v>
      </c>
      <c r="I1146" s="59">
        <v>0.54166666666666663</v>
      </c>
      <c r="J1146" s="66" t="s">
        <v>14</v>
      </c>
      <c r="K1146" s="22"/>
    </row>
    <row r="1147" spans="2:11">
      <c r="B1147" s="22" t="s">
        <v>192</v>
      </c>
      <c r="C1147" s="28">
        <f>IF(B1147&lt;&gt;"",VLOOKUP(B1147,Projetos!E:F,2,0),"")</f>
        <v>32</v>
      </c>
      <c r="D1147" s="87"/>
      <c r="E1147" s="22" t="s">
        <v>193</v>
      </c>
      <c r="F1147" s="96" t="s">
        <v>606</v>
      </c>
      <c r="G1147" s="35" t="s">
        <v>42</v>
      </c>
      <c r="H1147" s="42">
        <v>45526</v>
      </c>
      <c r="I1147" s="59">
        <v>8.3333333333333329E-2</v>
      </c>
      <c r="J1147" s="66" t="s">
        <v>14</v>
      </c>
      <c r="K1147" s="22"/>
    </row>
    <row r="1148" spans="2:11">
      <c r="B1148" s="22" t="s">
        <v>85</v>
      </c>
      <c r="C1148" s="28">
        <f>IF(B1148&lt;&gt;"",VLOOKUP(B1148,Projetos!E:F,2,0),"")</f>
        <v>1</v>
      </c>
      <c r="D1148" s="87"/>
      <c r="E1148" s="22" t="s">
        <v>40</v>
      </c>
      <c r="F1148" s="96" t="s">
        <v>607</v>
      </c>
      <c r="G1148" s="35" t="s">
        <v>42</v>
      </c>
      <c r="H1148" s="42">
        <v>45526</v>
      </c>
      <c r="I1148" s="59">
        <v>8.3333333333333329E-2</v>
      </c>
      <c r="J1148" s="66" t="s">
        <v>14</v>
      </c>
      <c r="K1148" s="22"/>
    </row>
    <row r="1149" spans="2:11">
      <c r="B1149" s="22" t="s">
        <v>156</v>
      </c>
      <c r="C1149" s="28">
        <f>IF(B1149&lt;&gt;"",VLOOKUP(B1149,Projetos!E:F,2,0),"")</f>
        <v>3</v>
      </c>
      <c r="D1149" s="87"/>
      <c r="E1149" s="22" t="s">
        <v>40</v>
      </c>
      <c r="F1149" s="96" t="s">
        <v>608</v>
      </c>
      <c r="G1149" s="35" t="s">
        <v>528</v>
      </c>
      <c r="H1149" s="42">
        <v>45526</v>
      </c>
      <c r="I1149" s="59">
        <v>0.125</v>
      </c>
      <c r="J1149" s="66" t="s">
        <v>14</v>
      </c>
      <c r="K1149" s="22"/>
    </row>
    <row r="1150" spans="2:11">
      <c r="B1150" s="22" t="s">
        <v>192</v>
      </c>
      <c r="C1150" s="28">
        <f>IF(B1150&lt;&gt;"",VLOOKUP(B1150,Projetos!E:F,2,0),"")</f>
        <v>32</v>
      </c>
      <c r="D1150" s="87"/>
      <c r="E1150" s="22" t="s">
        <v>193</v>
      </c>
      <c r="F1150" s="96" t="s">
        <v>609</v>
      </c>
      <c r="G1150" s="35" t="s">
        <v>528</v>
      </c>
      <c r="H1150" s="42">
        <v>45526</v>
      </c>
      <c r="I1150" s="59">
        <v>4.1666666666666664E-2</v>
      </c>
      <c r="J1150" s="66" t="s">
        <v>14</v>
      </c>
      <c r="K1150" s="22"/>
    </row>
    <row r="1151" spans="2:11">
      <c r="B1151" s="22" t="s">
        <v>192</v>
      </c>
      <c r="C1151" s="28">
        <f>IF(B1151&lt;&gt;"",VLOOKUP(B1151,Projetos!E:F,2,0),"")</f>
        <v>32</v>
      </c>
      <c r="D1151" s="87"/>
      <c r="E1151" s="22" t="s">
        <v>193</v>
      </c>
      <c r="F1151" s="96" t="s">
        <v>610</v>
      </c>
      <c r="G1151" s="35" t="s">
        <v>528</v>
      </c>
      <c r="H1151" s="42">
        <v>45526</v>
      </c>
      <c r="I1151" s="59">
        <v>4.1666666666666664E-2</v>
      </c>
      <c r="J1151" s="66" t="s">
        <v>14</v>
      </c>
      <c r="K1151" s="22"/>
    </row>
    <row r="1152" spans="2:11">
      <c r="B1152" s="22" t="s">
        <v>156</v>
      </c>
      <c r="C1152" s="28">
        <f>IF(B1152&lt;&gt;"",VLOOKUP(B1152,Projetos!E:F,2,0),"")</f>
        <v>3</v>
      </c>
      <c r="D1152" s="87"/>
      <c r="E1152" s="22" t="s">
        <v>40</v>
      </c>
      <c r="F1152" s="96" t="s">
        <v>608</v>
      </c>
      <c r="G1152" s="35" t="s">
        <v>525</v>
      </c>
      <c r="H1152" s="42">
        <v>45526</v>
      </c>
      <c r="I1152" s="59">
        <v>0.125</v>
      </c>
      <c r="J1152" s="66" t="s">
        <v>14</v>
      </c>
      <c r="K1152" s="22"/>
    </row>
    <row r="1153" spans="2:11">
      <c r="B1153" s="22" t="s">
        <v>192</v>
      </c>
      <c r="C1153" s="28">
        <f>IF(B1153&lt;&gt;"",VLOOKUP(B1153,Projetos!E:F,2,0),"")</f>
        <v>32</v>
      </c>
      <c r="D1153" s="87"/>
      <c r="E1153" s="22" t="s">
        <v>193</v>
      </c>
      <c r="F1153" s="96" t="s">
        <v>609</v>
      </c>
      <c r="G1153" s="35" t="s">
        <v>525</v>
      </c>
      <c r="H1153" s="42">
        <v>45526</v>
      </c>
      <c r="I1153" s="59">
        <v>4.1666666666666664E-2</v>
      </c>
      <c r="J1153" s="66" t="s">
        <v>14</v>
      </c>
      <c r="K1153" s="22"/>
    </row>
    <row r="1154" spans="2:11">
      <c r="B1154" s="22" t="s">
        <v>61</v>
      </c>
      <c r="C1154" s="28">
        <f>IF(B1154&lt;&gt;"",VLOOKUP(B1154,Projetos!E:F,2,0),"")</f>
        <v>11</v>
      </c>
      <c r="D1154" s="87"/>
      <c r="E1154" s="22" t="s">
        <v>16</v>
      </c>
      <c r="F1154" s="96" t="s">
        <v>611</v>
      </c>
      <c r="G1154" s="35" t="s">
        <v>66</v>
      </c>
      <c r="H1154" s="42">
        <v>45525</v>
      </c>
      <c r="I1154" s="59">
        <v>0.125</v>
      </c>
      <c r="J1154" s="66" t="s">
        <v>14</v>
      </c>
      <c r="K1154" s="22"/>
    </row>
    <row r="1155" spans="2:11">
      <c r="B1155" s="22" t="s">
        <v>156</v>
      </c>
      <c r="C1155" s="28">
        <f>IF(B1155&lt;&gt;"",VLOOKUP(B1155,Projetos!E:F,2,0),"")</f>
        <v>3</v>
      </c>
      <c r="D1155" s="87"/>
      <c r="E1155" s="22" t="s">
        <v>40</v>
      </c>
      <c r="F1155" s="96" t="s">
        <v>559</v>
      </c>
      <c r="G1155" s="35" t="s">
        <v>66</v>
      </c>
      <c r="H1155" s="42">
        <v>45525</v>
      </c>
      <c r="I1155" s="59">
        <v>0.125</v>
      </c>
      <c r="J1155" s="66" t="s">
        <v>14</v>
      </c>
      <c r="K1155" s="22"/>
    </row>
    <row r="1156" spans="2:11">
      <c r="B1156" s="22" t="s">
        <v>156</v>
      </c>
      <c r="C1156" s="28">
        <f>IF(B1156&lt;&gt;"",VLOOKUP(B1156,Projetos!E:F,2,0),"")</f>
        <v>3</v>
      </c>
      <c r="D1156" s="87"/>
      <c r="E1156" s="22" t="s">
        <v>40</v>
      </c>
      <c r="F1156" s="96" t="s">
        <v>559</v>
      </c>
      <c r="G1156" s="35" t="s">
        <v>66</v>
      </c>
      <c r="H1156" s="42">
        <v>45526</v>
      </c>
      <c r="I1156" s="59">
        <v>0.25</v>
      </c>
      <c r="J1156" s="66" t="s">
        <v>14</v>
      </c>
      <c r="K1156" s="22"/>
    </row>
    <row r="1157" spans="2:11">
      <c r="B1157" s="22" t="s">
        <v>192</v>
      </c>
      <c r="C1157" s="28">
        <f>IF(B1157&lt;&gt;"",VLOOKUP(B1157,Projetos!E:F,2,0),"")</f>
        <v>32</v>
      </c>
      <c r="D1157" s="87"/>
      <c r="E1157" s="22" t="s">
        <v>193</v>
      </c>
      <c r="F1157" s="96" t="s">
        <v>612</v>
      </c>
      <c r="G1157" s="35" t="s">
        <v>525</v>
      </c>
      <c r="H1157" s="42">
        <v>45526</v>
      </c>
      <c r="I1157" s="59">
        <v>8.3333333333333329E-2</v>
      </c>
      <c r="J1157" s="66" t="s">
        <v>14</v>
      </c>
      <c r="K1157" s="22"/>
    </row>
    <row r="1158" spans="2:11">
      <c r="B1158" s="22" t="s">
        <v>61</v>
      </c>
      <c r="C1158" s="28">
        <f>IF(B1158&lt;&gt;"",VLOOKUP(B1158,Projetos!E:F,2,0),"")</f>
        <v>11</v>
      </c>
      <c r="D1158" s="87"/>
      <c r="E1158" s="22" t="s">
        <v>16</v>
      </c>
      <c r="F1158" s="96" t="s">
        <v>602</v>
      </c>
      <c r="G1158" s="35" t="s">
        <v>20</v>
      </c>
      <c r="H1158" s="42">
        <v>45525</v>
      </c>
      <c r="I1158" s="59">
        <v>0.125</v>
      </c>
      <c r="J1158" s="66" t="s">
        <v>14</v>
      </c>
      <c r="K1158" s="22"/>
    </row>
    <row r="1159" spans="2:11">
      <c r="B1159" s="22" t="s">
        <v>385</v>
      </c>
      <c r="C1159" s="28">
        <f>IF(B1159&lt;&gt;"",VLOOKUP(B1159,Projetos!E:F,2,0),"")</f>
        <v>48</v>
      </c>
      <c r="D1159" s="87"/>
      <c r="E1159" s="22" t="s">
        <v>16</v>
      </c>
      <c r="F1159" s="96" t="s">
        <v>613</v>
      </c>
      <c r="G1159" s="35" t="s">
        <v>20</v>
      </c>
      <c r="H1159" s="42">
        <v>45523</v>
      </c>
      <c r="I1159" s="59">
        <v>0.125</v>
      </c>
      <c r="J1159" s="66" t="s">
        <v>14</v>
      </c>
      <c r="K1159" s="22"/>
    </row>
    <row r="1160" spans="2:11">
      <c r="B1160" s="22" t="s">
        <v>385</v>
      </c>
      <c r="C1160" s="28">
        <f>IF(B1160&lt;&gt;"",VLOOKUP(B1160,Projetos!E:F,2,0),"")</f>
        <v>48</v>
      </c>
      <c r="D1160" s="87"/>
      <c r="E1160" s="22" t="s">
        <v>49</v>
      </c>
      <c r="F1160" s="96" t="s">
        <v>614</v>
      </c>
      <c r="G1160" s="35" t="s">
        <v>20</v>
      </c>
      <c r="H1160" s="42">
        <v>45523</v>
      </c>
      <c r="I1160" s="59">
        <v>0.25</v>
      </c>
      <c r="J1160" s="66" t="s">
        <v>14</v>
      </c>
      <c r="K1160" s="22"/>
    </row>
    <row r="1161" spans="2:11">
      <c r="B1161" s="22" t="s">
        <v>128</v>
      </c>
      <c r="C1161" s="28">
        <f>IF(B1161&lt;&gt;"",VLOOKUP(B1161,Projetos!E:F,2,0),"")</f>
        <v>23</v>
      </c>
      <c r="D1161" s="87"/>
      <c r="E1161" s="22" t="s">
        <v>49</v>
      </c>
      <c r="F1161" s="96" t="s">
        <v>615</v>
      </c>
      <c r="G1161" s="35" t="s">
        <v>20</v>
      </c>
      <c r="H1161" s="42">
        <v>45523</v>
      </c>
      <c r="I1161" s="59">
        <v>4.1666666666666664E-2</v>
      </c>
      <c r="J1161" s="66" t="s">
        <v>14</v>
      </c>
      <c r="K1161" s="22"/>
    </row>
    <row r="1162" spans="2:11">
      <c r="B1162" s="22" t="s">
        <v>138</v>
      </c>
      <c r="C1162" s="28">
        <f>IF(B1162&lt;&gt;"",VLOOKUP(B1162,Projetos!E:F,2,0),"")</f>
        <v>30</v>
      </c>
      <c r="D1162" s="87"/>
      <c r="E1162" s="22" t="s">
        <v>21</v>
      </c>
      <c r="F1162" s="96" t="s">
        <v>616</v>
      </c>
      <c r="G1162" s="35" t="s">
        <v>20</v>
      </c>
      <c r="H1162" s="42">
        <v>45525</v>
      </c>
      <c r="I1162" s="59">
        <v>0.20833333333333334</v>
      </c>
      <c r="J1162" s="66" t="s">
        <v>14</v>
      </c>
      <c r="K1162" s="22"/>
    </row>
    <row r="1163" spans="2:11">
      <c r="B1163" s="22" t="s">
        <v>138</v>
      </c>
      <c r="C1163" s="28">
        <f>IF(B1163&lt;&gt;"",VLOOKUP(B1163,Projetos!E:F,2,0),"")</f>
        <v>30</v>
      </c>
      <c r="D1163" s="87"/>
      <c r="E1163" s="22" t="s">
        <v>21</v>
      </c>
      <c r="F1163" s="96" t="s">
        <v>616</v>
      </c>
      <c r="G1163" s="35" t="s">
        <v>20</v>
      </c>
      <c r="H1163" s="42">
        <v>45526</v>
      </c>
      <c r="I1163" s="59">
        <v>0.16666666666666666</v>
      </c>
      <c r="J1163" s="66" t="s">
        <v>14</v>
      </c>
      <c r="K1163" s="22"/>
    </row>
    <row r="1164" spans="2:11">
      <c r="B1164" s="22" t="s">
        <v>61</v>
      </c>
      <c r="C1164" s="28">
        <f>IF(B1164&lt;&gt;"",VLOOKUP(B1164,Projetos!E:F,2,0),"")</f>
        <v>11</v>
      </c>
      <c r="D1164" s="87"/>
      <c r="E1164" s="22" t="s">
        <v>16</v>
      </c>
      <c r="F1164" s="96" t="s">
        <v>602</v>
      </c>
      <c r="G1164" s="35" t="s">
        <v>20</v>
      </c>
      <c r="H1164" s="42">
        <v>45526</v>
      </c>
      <c r="I1164" s="59">
        <v>0.16666666666666666</v>
      </c>
      <c r="J1164" s="66" t="s">
        <v>14</v>
      </c>
      <c r="K1164" s="22"/>
    </row>
    <row r="1165" spans="2:11">
      <c r="B1165" s="22" t="s">
        <v>385</v>
      </c>
      <c r="C1165" s="28">
        <f>IF(B1165&lt;&gt;"",VLOOKUP(B1165,Projetos!E:F,2,0),"")</f>
        <v>48</v>
      </c>
      <c r="D1165" s="87"/>
      <c r="E1165" s="22" t="s">
        <v>40</v>
      </c>
      <c r="F1165" s="96" t="s">
        <v>617</v>
      </c>
      <c r="G1165" s="35" t="s">
        <v>42</v>
      </c>
      <c r="H1165" s="42">
        <v>45527</v>
      </c>
      <c r="I1165" s="59">
        <v>0.25</v>
      </c>
      <c r="J1165" s="66" t="s">
        <v>14</v>
      </c>
      <c r="K1165" s="22"/>
    </row>
    <row r="1166" spans="2:11">
      <c r="B1166" s="22" t="s">
        <v>140</v>
      </c>
      <c r="C1166" s="28">
        <f>IF(B1166&lt;&gt;"",VLOOKUP(B1166,Projetos!E:F,2,0),"")</f>
        <v>39</v>
      </c>
      <c r="D1166" s="87"/>
      <c r="E1166" s="22" t="s">
        <v>40</v>
      </c>
      <c r="F1166" s="96" t="s">
        <v>618</v>
      </c>
      <c r="G1166" s="35" t="s">
        <v>64</v>
      </c>
      <c r="H1166" s="42">
        <v>45525</v>
      </c>
      <c r="I1166" s="59">
        <v>0.16666666666666666</v>
      </c>
      <c r="J1166" s="66" t="s">
        <v>14</v>
      </c>
      <c r="K1166" s="22"/>
    </row>
    <row r="1167" spans="2:11">
      <c r="B1167" s="22" t="s">
        <v>136</v>
      </c>
      <c r="C1167" s="28">
        <f>IF(B1167&lt;&gt;"",VLOOKUP(B1167,Projetos!E:F,2,0),"")</f>
        <v>25</v>
      </c>
      <c r="D1167" s="87"/>
      <c r="E1167" s="22" t="s">
        <v>40</v>
      </c>
      <c r="F1167" s="96" t="s">
        <v>619</v>
      </c>
      <c r="G1167" s="35" t="s">
        <v>64</v>
      </c>
      <c r="H1167" s="42">
        <v>45527</v>
      </c>
      <c r="I1167" s="59">
        <v>0.25</v>
      </c>
      <c r="J1167" s="66" t="s">
        <v>14</v>
      </c>
      <c r="K1167" s="22"/>
    </row>
    <row r="1168" spans="2:11">
      <c r="B1168" s="22" t="s">
        <v>140</v>
      </c>
      <c r="C1168" s="28">
        <f>IF(B1168&lt;&gt;"",VLOOKUP(B1168,Projetos!E:F,2,0),"")</f>
        <v>39</v>
      </c>
      <c r="D1168" s="87"/>
      <c r="E1168" s="22" t="s">
        <v>40</v>
      </c>
      <c r="F1168" s="96" t="s">
        <v>620</v>
      </c>
      <c r="G1168" s="35" t="s">
        <v>64</v>
      </c>
      <c r="H1168" s="42">
        <v>45527</v>
      </c>
      <c r="I1168" s="59">
        <v>4.1666666666666664E-2</v>
      </c>
      <c r="J1168" s="66" t="s">
        <v>14</v>
      </c>
      <c r="K1168" s="22"/>
    </row>
    <row r="1169" spans="2:11">
      <c r="B1169" s="22" t="s">
        <v>192</v>
      </c>
      <c r="C1169" s="28">
        <f>IF(B1169&lt;&gt;"",VLOOKUP(B1169,Projetos!E:F,2,0),"")</f>
        <v>32</v>
      </c>
      <c r="D1169" s="87"/>
      <c r="E1169" s="22" t="s">
        <v>193</v>
      </c>
      <c r="F1169" s="96" t="s">
        <v>621</v>
      </c>
      <c r="G1169" s="35" t="s">
        <v>525</v>
      </c>
      <c r="H1169" s="42">
        <v>45527</v>
      </c>
      <c r="I1169" s="59">
        <v>0.125</v>
      </c>
      <c r="J1169" s="66" t="s">
        <v>14</v>
      </c>
      <c r="K1169" s="22"/>
    </row>
    <row r="1170" spans="2:11">
      <c r="B1170" s="22" t="s">
        <v>140</v>
      </c>
      <c r="C1170" s="28">
        <f>IF(B1170&lt;&gt;"",VLOOKUP(B1170,Projetos!E:F,2,0),"")</f>
        <v>39</v>
      </c>
      <c r="D1170" s="87"/>
      <c r="E1170" s="22" t="s">
        <v>40</v>
      </c>
      <c r="F1170" s="96" t="s">
        <v>620</v>
      </c>
      <c r="G1170" s="35" t="s">
        <v>525</v>
      </c>
      <c r="H1170" s="42">
        <v>45527</v>
      </c>
      <c r="I1170" s="59">
        <v>0.125</v>
      </c>
      <c r="J1170" s="66" t="s">
        <v>14</v>
      </c>
      <c r="K1170" s="22"/>
    </row>
    <row r="1171" spans="2:11" ht="30">
      <c r="B1171" s="22" t="s">
        <v>192</v>
      </c>
      <c r="C1171" s="28">
        <f>IF(B1171&lt;&gt;"",VLOOKUP(B1171,Projetos!E:F,2,0),"")</f>
        <v>32</v>
      </c>
      <c r="D1171" s="87"/>
      <c r="E1171" s="22" t="s">
        <v>193</v>
      </c>
      <c r="F1171" s="96" t="s">
        <v>622</v>
      </c>
      <c r="G1171" s="35" t="s">
        <v>528</v>
      </c>
      <c r="H1171" s="42">
        <v>45527</v>
      </c>
      <c r="I1171" s="59">
        <v>0.16666666666666666</v>
      </c>
      <c r="J1171" s="66" t="s">
        <v>14</v>
      </c>
      <c r="K1171" s="22"/>
    </row>
    <row r="1172" spans="2:11">
      <c r="B1172" s="22" t="s">
        <v>192</v>
      </c>
      <c r="C1172" s="28">
        <f>IF(B1172&lt;&gt;"",VLOOKUP(B1172,Projetos!E:F,2,0),"")</f>
        <v>32</v>
      </c>
      <c r="D1172" s="87"/>
      <c r="E1172" s="22" t="s">
        <v>193</v>
      </c>
      <c r="F1172" s="96" t="s">
        <v>623</v>
      </c>
      <c r="G1172" s="35" t="s">
        <v>528</v>
      </c>
      <c r="H1172" s="42">
        <v>45527</v>
      </c>
      <c r="I1172" s="59">
        <v>4.1666666666666664E-2</v>
      </c>
      <c r="J1172" s="66" t="s">
        <v>14</v>
      </c>
      <c r="K1172" s="22"/>
    </row>
    <row r="1173" spans="2:11">
      <c r="B1173" s="22" t="s">
        <v>138</v>
      </c>
      <c r="C1173" s="28">
        <f>IF(B1173&lt;&gt;"",VLOOKUP(B1173,Projetos!E:F,2,0),"")</f>
        <v>30</v>
      </c>
      <c r="D1173" s="87"/>
      <c r="E1173" s="22" t="s">
        <v>21</v>
      </c>
      <c r="F1173" s="96" t="s">
        <v>624</v>
      </c>
      <c r="G1173" s="35" t="s">
        <v>20</v>
      </c>
      <c r="H1173" s="42">
        <v>45527</v>
      </c>
      <c r="I1173" s="59">
        <v>0.16666666666666666</v>
      </c>
      <c r="J1173" s="66" t="s">
        <v>14</v>
      </c>
      <c r="K1173" s="22"/>
    </row>
    <row r="1174" spans="2:11">
      <c r="B1174" s="22" t="s">
        <v>138</v>
      </c>
      <c r="C1174" s="28">
        <f>IF(B1174&lt;&gt;"",VLOOKUP(B1174,Projetos!E:F,2,0),"")</f>
        <v>30</v>
      </c>
      <c r="D1174" s="87"/>
      <c r="E1174" s="22" t="s">
        <v>16</v>
      </c>
      <c r="F1174" s="96" t="s">
        <v>625</v>
      </c>
      <c r="G1174" s="35" t="s">
        <v>20</v>
      </c>
      <c r="H1174" s="42">
        <v>45527</v>
      </c>
      <c r="I1174" s="59">
        <v>6.25E-2</v>
      </c>
      <c r="J1174" s="66" t="s">
        <v>14</v>
      </c>
      <c r="K1174" s="22"/>
    </row>
    <row r="1175" spans="2:11" ht="30">
      <c r="B1175" s="22" t="s">
        <v>138</v>
      </c>
      <c r="C1175" s="28">
        <f>IF(B1175&lt;&gt;"",VLOOKUP(B1175,Projetos!E:F,2,0),"")</f>
        <v>30</v>
      </c>
      <c r="D1175" s="87"/>
      <c r="E1175" s="22" t="s">
        <v>21</v>
      </c>
      <c r="F1175" s="96" t="s">
        <v>626</v>
      </c>
      <c r="G1175" s="35" t="s">
        <v>20</v>
      </c>
      <c r="H1175" s="42">
        <v>45527</v>
      </c>
      <c r="I1175" s="59">
        <v>8.3333333333333329E-2</v>
      </c>
      <c r="J1175" s="66" t="s">
        <v>14</v>
      </c>
      <c r="K1175" s="22"/>
    </row>
    <row r="1176" spans="2:11">
      <c r="B1176" s="22" t="s">
        <v>156</v>
      </c>
      <c r="C1176" s="28">
        <f>IF(B1176&lt;&gt;"",VLOOKUP(B1176,Projetos!E:F,2,0),"")</f>
        <v>3</v>
      </c>
      <c r="D1176" s="87"/>
      <c r="E1176" s="22" t="s">
        <v>40</v>
      </c>
      <c r="F1176" s="96" t="s">
        <v>559</v>
      </c>
      <c r="G1176" s="35" t="s">
        <v>66</v>
      </c>
      <c r="H1176" s="42">
        <v>45527</v>
      </c>
      <c r="I1176" s="59">
        <v>0.25</v>
      </c>
      <c r="J1176" s="66" t="s">
        <v>14</v>
      </c>
      <c r="K1176" s="22"/>
    </row>
    <row r="1177" spans="2:11">
      <c r="B1177" s="22" t="s">
        <v>138</v>
      </c>
      <c r="C1177" s="28">
        <f>IF(B1177&lt;&gt;"",VLOOKUP(B1177,Projetos!E:F,2,0),"")</f>
        <v>30</v>
      </c>
      <c r="D1177" s="87"/>
      <c r="E1177" s="22" t="s">
        <v>21</v>
      </c>
      <c r="F1177" s="96" t="s">
        <v>627</v>
      </c>
      <c r="G1177" s="35" t="s">
        <v>20</v>
      </c>
      <c r="H1177" s="42">
        <v>45530</v>
      </c>
      <c r="I1177" s="59">
        <v>0.25</v>
      </c>
      <c r="J1177" s="66" t="s">
        <v>14</v>
      </c>
      <c r="K1177" s="22"/>
    </row>
    <row r="1178" spans="2:11">
      <c r="B1178" s="22" t="s">
        <v>176</v>
      </c>
      <c r="C1178" s="28">
        <f>IF(B1178&lt;&gt;"",VLOOKUP(B1178,Projetos!E:F,2,0),"")</f>
        <v>31</v>
      </c>
      <c r="D1178" s="87"/>
      <c r="E1178" s="22" t="s">
        <v>119</v>
      </c>
      <c r="F1178" s="96" t="s">
        <v>628</v>
      </c>
      <c r="G1178" s="35" t="s">
        <v>20</v>
      </c>
      <c r="H1178" s="42">
        <v>45530</v>
      </c>
      <c r="I1178" s="59">
        <v>8.3333333333333329E-2</v>
      </c>
      <c r="J1178" s="66" t="s">
        <v>14</v>
      </c>
      <c r="K1178" s="22"/>
    </row>
    <row r="1179" spans="2:11">
      <c r="B1179" s="22" t="s">
        <v>156</v>
      </c>
      <c r="C1179" s="28">
        <f>IF(B1179&lt;&gt;"",VLOOKUP(B1179,Projetos!E:F,2,0),"")</f>
        <v>3</v>
      </c>
      <c r="D1179" s="87"/>
      <c r="E1179" s="22" t="s">
        <v>40</v>
      </c>
      <c r="F1179" s="96" t="s">
        <v>629</v>
      </c>
      <c r="G1179" s="35" t="s">
        <v>66</v>
      </c>
      <c r="H1179" s="42">
        <v>45530</v>
      </c>
      <c r="I1179" s="59">
        <v>0.25</v>
      </c>
      <c r="J1179" s="66" t="s">
        <v>14</v>
      </c>
      <c r="K1179" s="22"/>
    </row>
    <row r="1180" spans="2:11">
      <c r="B1180" s="22" t="s">
        <v>192</v>
      </c>
      <c r="C1180" s="28">
        <f>IF(B1180&lt;&gt;"",VLOOKUP(B1180,Projetos!E:F,2,0),"")</f>
        <v>32</v>
      </c>
      <c r="D1180" s="87"/>
      <c r="E1180" s="22" t="s">
        <v>193</v>
      </c>
      <c r="F1180" s="96" t="s">
        <v>621</v>
      </c>
      <c r="G1180" s="35" t="s">
        <v>525</v>
      </c>
      <c r="H1180" s="42">
        <v>45530</v>
      </c>
      <c r="I1180" s="59">
        <v>0.25</v>
      </c>
      <c r="J1180" s="66" t="s">
        <v>14</v>
      </c>
      <c r="K1180" s="22"/>
    </row>
    <row r="1181" spans="2:11">
      <c r="B1181" s="22" t="s">
        <v>287</v>
      </c>
      <c r="C1181" s="28">
        <f>IF(B1181&lt;&gt;"",VLOOKUP(B1181,Projetos!E:F,2,0),"")</f>
        <v>36</v>
      </c>
      <c r="D1181" s="87"/>
      <c r="E1181" s="22" t="s">
        <v>193</v>
      </c>
      <c r="F1181" s="96" t="s">
        <v>630</v>
      </c>
      <c r="G1181" s="35" t="s">
        <v>64</v>
      </c>
      <c r="H1181" s="42">
        <v>45527</v>
      </c>
      <c r="I1181" s="59">
        <v>4.1666666666666664E-2</v>
      </c>
      <c r="J1181" s="66" t="s">
        <v>14</v>
      </c>
      <c r="K1181" s="22"/>
    </row>
    <row r="1182" spans="2:11">
      <c r="B1182" s="22" t="s">
        <v>136</v>
      </c>
      <c r="C1182" s="28">
        <f>IF(B1182&lt;&gt;"",VLOOKUP(B1182,Projetos!E:F,2,0),"")</f>
        <v>25</v>
      </c>
      <c r="D1182" s="87"/>
      <c r="E1182" s="22" t="s">
        <v>49</v>
      </c>
      <c r="F1182" s="96" t="s">
        <v>631</v>
      </c>
      <c r="G1182" s="35" t="s">
        <v>64</v>
      </c>
      <c r="H1182" s="42">
        <v>45530</v>
      </c>
      <c r="I1182" s="59">
        <v>0.29166666666666669</v>
      </c>
      <c r="J1182" s="66" t="s">
        <v>14</v>
      </c>
      <c r="K1182" s="22"/>
    </row>
    <row r="1183" spans="2:11" ht="30">
      <c r="B1183" s="22" t="s">
        <v>138</v>
      </c>
      <c r="C1183" s="28">
        <f>IF(B1183&lt;&gt;"",VLOOKUP(B1183,Projetos!E:F,2,0),"")</f>
        <v>30</v>
      </c>
      <c r="D1183" s="87"/>
      <c r="E1183" s="22" t="s">
        <v>21</v>
      </c>
      <c r="F1183" s="96" t="s">
        <v>632</v>
      </c>
      <c r="G1183" s="35" t="s">
        <v>20</v>
      </c>
      <c r="H1183" s="42">
        <v>45531</v>
      </c>
      <c r="I1183" s="59">
        <v>0.29166666666666669</v>
      </c>
      <c r="J1183" s="66" t="s">
        <v>14</v>
      </c>
      <c r="K1183" s="22"/>
    </row>
    <row r="1184" spans="2:11">
      <c r="B1184" s="22" t="s">
        <v>192</v>
      </c>
      <c r="C1184" s="28">
        <f>IF(B1184&lt;&gt;"",VLOOKUP(B1184,Projetos!E:F,2,0),"")</f>
        <v>32</v>
      </c>
      <c r="D1184" s="87"/>
      <c r="E1184" s="22" t="s">
        <v>193</v>
      </c>
      <c r="F1184" s="96" t="s">
        <v>554</v>
      </c>
      <c r="G1184" s="35" t="s">
        <v>64</v>
      </c>
      <c r="H1184" s="42">
        <v>45530</v>
      </c>
      <c r="I1184" s="59">
        <v>4.1666666666666664E-2</v>
      </c>
      <c r="J1184" s="66" t="s">
        <v>14</v>
      </c>
      <c r="K1184" s="22"/>
    </row>
    <row r="1185" spans="2:11">
      <c r="B1185" s="22" t="s">
        <v>136</v>
      </c>
      <c r="C1185" s="28">
        <f>IF(B1185&lt;&gt;"",VLOOKUP(B1185,Projetos!E:F,2,0),"")</f>
        <v>25</v>
      </c>
      <c r="D1185" s="87"/>
      <c r="E1185" s="22" t="s">
        <v>49</v>
      </c>
      <c r="F1185" s="96" t="s">
        <v>633</v>
      </c>
      <c r="G1185" s="35" t="s">
        <v>64</v>
      </c>
      <c r="H1185" s="42">
        <v>45531</v>
      </c>
      <c r="I1185" s="59">
        <v>0.25</v>
      </c>
      <c r="J1185" s="66" t="s">
        <v>14</v>
      </c>
      <c r="K1185" s="22"/>
    </row>
    <row r="1186" spans="2:11">
      <c r="B1186" s="22" t="s">
        <v>192</v>
      </c>
      <c r="C1186" s="28">
        <f>IF(B1186&lt;&gt;"",VLOOKUP(B1186,Projetos!E:F,2,0),"")</f>
        <v>32</v>
      </c>
      <c r="D1186" s="87"/>
      <c r="E1186" s="22" t="s">
        <v>193</v>
      </c>
      <c r="F1186" s="96" t="s">
        <v>621</v>
      </c>
      <c r="G1186" s="35" t="s">
        <v>525</v>
      </c>
      <c r="H1186" s="42">
        <v>45531</v>
      </c>
      <c r="I1186" s="59">
        <v>0.25</v>
      </c>
      <c r="J1186" s="66" t="s">
        <v>14</v>
      </c>
      <c r="K1186" s="22"/>
    </row>
    <row r="1187" spans="2:11">
      <c r="B1187" s="22" t="s">
        <v>385</v>
      </c>
      <c r="C1187" s="28">
        <f>IF(B1187&lt;&gt;"",VLOOKUP(B1187,Projetos!E:F,2,0),"")</f>
        <v>48</v>
      </c>
      <c r="D1187" s="87"/>
      <c r="E1187" s="22" t="s">
        <v>40</v>
      </c>
      <c r="F1187" s="96" t="s">
        <v>634</v>
      </c>
      <c r="G1187" s="35" t="s">
        <v>42</v>
      </c>
      <c r="H1187" s="42">
        <v>45531</v>
      </c>
      <c r="I1187" s="59">
        <v>0.33333333333333331</v>
      </c>
      <c r="J1187" s="66" t="s">
        <v>14</v>
      </c>
      <c r="K1187" s="22"/>
    </row>
    <row r="1188" spans="2:11">
      <c r="B1188" s="22" t="s">
        <v>156</v>
      </c>
      <c r="C1188" s="28">
        <f>IF(B1188&lt;&gt;"",VLOOKUP(B1188,Projetos!E:F,2,0),"")</f>
        <v>3</v>
      </c>
      <c r="D1188" s="87"/>
      <c r="E1188" s="22" t="s">
        <v>40</v>
      </c>
      <c r="F1188" s="109" t="s">
        <v>635</v>
      </c>
      <c r="G1188" s="35" t="s">
        <v>66</v>
      </c>
      <c r="H1188" s="42">
        <v>45531</v>
      </c>
      <c r="I1188" s="59">
        <v>0.25</v>
      </c>
      <c r="J1188" s="66" t="s">
        <v>14</v>
      </c>
      <c r="K1188" s="22"/>
    </row>
    <row r="1189" spans="2:11">
      <c r="B1189" s="22" t="s">
        <v>156</v>
      </c>
      <c r="C1189" s="28">
        <v>3</v>
      </c>
      <c r="D1189" s="44" t="str">
        <f>IF(B1189&lt;&gt;"",VLOOKUP(B1189,Projetos!E:G,3,0))</f>
        <v>PDE_Serra_Verde</v>
      </c>
      <c r="E1189" s="87" t="s">
        <v>21</v>
      </c>
      <c r="F1189" s="71" t="s">
        <v>636</v>
      </c>
      <c r="G1189" s="41" t="s">
        <v>174</v>
      </c>
      <c r="H1189" s="42">
        <v>45516</v>
      </c>
      <c r="I1189" s="104">
        <v>0.33333333333333331</v>
      </c>
      <c r="J1189" s="66" t="s">
        <v>14</v>
      </c>
      <c r="K1189" s="22"/>
    </row>
    <row r="1190" spans="2:11">
      <c r="B1190" s="26" t="s">
        <v>156</v>
      </c>
      <c r="C1190" s="60">
        <v>3</v>
      </c>
      <c r="D1190" s="44" t="str">
        <f>IF(B1190&lt;&gt;"",VLOOKUP(B1190,Projetos!E:G,3,0))</f>
        <v>PDE_Serra_Verde</v>
      </c>
      <c r="E1190" s="116" t="s">
        <v>21</v>
      </c>
      <c r="F1190" s="82" t="s">
        <v>637</v>
      </c>
      <c r="G1190" s="124" t="s">
        <v>174</v>
      </c>
      <c r="H1190" s="125">
        <v>45516</v>
      </c>
      <c r="I1190" s="126">
        <v>0.33333333333333331</v>
      </c>
      <c r="J1190" s="127" t="s">
        <v>14</v>
      </c>
      <c r="K1190" s="22"/>
    </row>
    <row r="1191" spans="2:11">
      <c r="B1191" s="22" t="s">
        <v>156</v>
      </c>
      <c r="C1191" s="35">
        <v>3</v>
      </c>
      <c r="D1191" s="108" t="str">
        <f>IF(B1191&lt;&gt;"",VLOOKUP(B1191,Projetos!E:G,3,0))</f>
        <v>PDE_Serra_Verde</v>
      </c>
      <c r="E1191" s="22" t="s">
        <v>21</v>
      </c>
      <c r="F1191" s="71" t="s">
        <v>637</v>
      </c>
      <c r="G1191" s="35" t="s">
        <v>174</v>
      </c>
      <c r="H1191" s="42">
        <v>45517</v>
      </c>
      <c r="I1191" s="104">
        <v>0.16666666666666666</v>
      </c>
      <c r="J1191" s="35" t="s">
        <v>14</v>
      </c>
      <c r="K1191" s="54"/>
    </row>
    <row r="1192" spans="2:11">
      <c r="B1192" s="22" t="s">
        <v>156</v>
      </c>
      <c r="C1192" s="35">
        <v>3</v>
      </c>
      <c r="D1192" s="108" t="str">
        <f>IF(B1192&lt;&gt;"",VLOOKUP(B1192,Projetos!E:G,3,0))</f>
        <v>PDE_Serra_Verde</v>
      </c>
      <c r="E1192" s="22" t="s">
        <v>21</v>
      </c>
      <c r="F1192" s="71" t="s">
        <v>637</v>
      </c>
      <c r="G1192" s="35" t="s">
        <v>174</v>
      </c>
      <c r="H1192" s="42">
        <v>45518</v>
      </c>
      <c r="I1192" s="104">
        <v>0.33333333333333331</v>
      </c>
      <c r="J1192" s="35" t="s">
        <v>14</v>
      </c>
      <c r="K1192" s="54"/>
    </row>
    <row r="1193" spans="2:11">
      <c r="B1193" s="22" t="s">
        <v>156</v>
      </c>
      <c r="C1193" s="35">
        <v>3</v>
      </c>
      <c r="D1193" s="108" t="str">
        <f>IF(B1193&lt;&gt;"",VLOOKUP(B1193,Projetos!E:G,3,0))</f>
        <v>PDE_Serra_Verde</v>
      </c>
      <c r="E1193" s="22" t="s">
        <v>21</v>
      </c>
      <c r="F1193" s="71" t="s">
        <v>637</v>
      </c>
      <c r="G1193" s="35" t="s">
        <v>174</v>
      </c>
      <c r="H1193" s="42">
        <v>45519</v>
      </c>
      <c r="I1193" s="104">
        <v>0.33333333333333331</v>
      </c>
      <c r="J1193" s="35" t="s">
        <v>14</v>
      </c>
      <c r="K1193" s="54"/>
    </row>
    <row r="1194" spans="2:11">
      <c r="B1194" s="22" t="s">
        <v>156</v>
      </c>
      <c r="C1194" s="35">
        <v>3</v>
      </c>
      <c r="D1194" s="108" t="str">
        <f>IF(B1194&lt;&gt;"",VLOOKUP(B1194,Projetos!E:G,3,0))</f>
        <v>PDE_Serra_Verde</v>
      </c>
      <c r="E1194" s="22" t="s">
        <v>21</v>
      </c>
      <c r="F1194" s="71" t="s">
        <v>637</v>
      </c>
      <c r="G1194" s="35" t="s">
        <v>174</v>
      </c>
      <c r="H1194" s="42">
        <v>45520</v>
      </c>
      <c r="I1194" s="104">
        <v>0.16666666666666666</v>
      </c>
      <c r="J1194" s="35" t="s">
        <v>14</v>
      </c>
      <c r="K1194" s="54"/>
    </row>
    <row r="1195" spans="2:11">
      <c r="B1195" s="22" t="s">
        <v>156</v>
      </c>
      <c r="C1195" s="35">
        <v>3</v>
      </c>
      <c r="D1195" s="108" t="str">
        <f>IF(B1195&lt;&gt;"",VLOOKUP(B1195,Projetos!E:G,3,0))</f>
        <v>PDE_Serra_Verde</v>
      </c>
      <c r="E1195" s="22" t="s">
        <v>21</v>
      </c>
      <c r="F1195" s="71" t="s">
        <v>637</v>
      </c>
      <c r="G1195" s="35" t="s">
        <v>174</v>
      </c>
      <c r="H1195" s="42">
        <v>45523</v>
      </c>
      <c r="I1195" s="104">
        <v>0.33333333333333331</v>
      </c>
      <c r="J1195" s="35" t="s">
        <v>14</v>
      </c>
      <c r="K1195" s="54"/>
    </row>
    <row r="1196" spans="2:11">
      <c r="B1196" s="22" t="s">
        <v>156</v>
      </c>
      <c r="C1196" s="35">
        <v>3</v>
      </c>
      <c r="D1196" s="108" t="str">
        <f>IF(B1196&lt;&gt;"",VLOOKUP(B1196,Projetos!E:G,3,0))</f>
        <v>PDE_Serra_Verde</v>
      </c>
      <c r="E1196" s="22" t="s">
        <v>21</v>
      </c>
      <c r="F1196" s="71" t="s">
        <v>637</v>
      </c>
      <c r="G1196" s="35" t="s">
        <v>174</v>
      </c>
      <c r="H1196" s="42">
        <v>45524</v>
      </c>
      <c r="I1196" s="104">
        <v>0.33333333333333331</v>
      </c>
      <c r="J1196" s="35" t="s">
        <v>14</v>
      </c>
      <c r="K1196" s="54"/>
    </row>
    <row r="1197" spans="2:11">
      <c r="B1197" s="22" t="s">
        <v>156</v>
      </c>
      <c r="C1197" s="35">
        <v>3</v>
      </c>
      <c r="D1197" s="108" t="str">
        <f>IF(B1197&lt;&gt;"",VLOOKUP(B1197,Projetos!E:G,3,0))</f>
        <v>PDE_Serra_Verde</v>
      </c>
      <c r="E1197" s="22" t="s">
        <v>21</v>
      </c>
      <c r="F1197" s="71" t="s">
        <v>637</v>
      </c>
      <c r="G1197" s="35" t="s">
        <v>174</v>
      </c>
      <c r="H1197" s="42">
        <v>45525</v>
      </c>
      <c r="I1197" s="104">
        <v>0.33333333333333331</v>
      </c>
      <c r="J1197" s="35" t="s">
        <v>14</v>
      </c>
      <c r="K1197" s="54"/>
    </row>
    <row r="1198" spans="2:11">
      <c r="B1198" s="22" t="s">
        <v>156</v>
      </c>
      <c r="C1198" s="35">
        <v>3</v>
      </c>
      <c r="D1198" s="108" t="str">
        <f>IF(B1198&lt;&gt;"",VLOOKUP(B1198,Projetos!E:G,3,0))</f>
        <v>PDE_Serra_Verde</v>
      </c>
      <c r="E1198" s="22" t="s">
        <v>21</v>
      </c>
      <c r="F1198" s="71" t="s">
        <v>637</v>
      </c>
      <c r="G1198" s="35" t="s">
        <v>174</v>
      </c>
      <c r="H1198" s="42">
        <v>45526</v>
      </c>
      <c r="I1198" s="104">
        <v>0.33333333333333331</v>
      </c>
      <c r="J1198" s="35" t="s">
        <v>14</v>
      </c>
      <c r="K1198" s="54"/>
    </row>
    <row r="1199" spans="2:11">
      <c r="B1199" s="22" t="s">
        <v>156</v>
      </c>
      <c r="C1199" s="35">
        <v>3</v>
      </c>
      <c r="D1199" s="108" t="str">
        <f>IF(B1199&lt;&gt;"",VLOOKUP(B1199,Projetos!E:G,3,0))</f>
        <v>PDE_Serra_Verde</v>
      </c>
      <c r="E1199" s="22" t="s">
        <v>21</v>
      </c>
      <c r="F1199" s="71" t="s">
        <v>637</v>
      </c>
      <c r="G1199" s="35" t="s">
        <v>174</v>
      </c>
      <c r="H1199" s="42">
        <v>45527</v>
      </c>
      <c r="I1199" s="104">
        <v>0.33333333333333331</v>
      </c>
      <c r="J1199" s="35" t="s">
        <v>14</v>
      </c>
      <c r="K1199" s="54"/>
    </row>
    <row r="1200" spans="2:11" ht="30">
      <c r="B1200" s="22" t="s">
        <v>156</v>
      </c>
      <c r="C1200" s="35">
        <v>3</v>
      </c>
      <c r="D1200" s="108" t="str">
        <f>IF(B1200&lt;&gt;"",VLOOKUP(B1200,Projetos!E:G,3,0))</f>
        <v>PDE_Serra_Verde</v>
      </c>
      <c r="E1200" s="22" t="s">
        <v>21</v>
      </c>
      <c r="F1200" s="71" t="s">
        <v>638</v>
      </c>
      <c r="G1200" s="35" t="s">
        <v>174</v>
      </c>
      <c r="H1200" s="42">
        <v>45530</v>
      </c>
      <c r="I1200" s="104">
        <v>0.33333333333333331</v>
      </c>
      <c r="J1200" s="35" t="s">
        <v>14</v>
      </c>
      <c r="K1200" s="54"/>
    </row>
    <row r="1201" spans="2:11" ht="30">
      <c r="B1201" s="22" t="s">
        <v>156</v>
      </c>
      <c r="C1201" s="35">
        <v>3</v>
      </c>
      <c r="D1201" s="108" t="str">
        <f>IF(B1201&lt;&gt;"",VLOOKUP(B1201,Projetos!E:G,3,0))</f>
        <v>PDE_Serra_Verde</v>
      </c>
      <c r="E1201" s="22" t="s">
        <v>21</v>
      </c>
      <c r="F1201" s="71" t="s">
        <v>638</v>
      </c>
      <c r="G1201" s="35" t="s">
        <v>174</v>
      </c>
      <c r="H1201" s="42">
        <v>45531</v>
      </c>
      <c r="I1201" s="104">
        <v>0.33333333333333331</v>
      </c>
      <c r="J1201" s="35" t="s">
        <v>14</v>
      </c>
      <c r="K1201" s="54"/>
    </row>
    <row r="1202" spans="2:11" ht="30">
      <c r="B1202" s="22" t="s">
        <v>156</v>
      </c>
      <c r="C1202" s="35">
        <v>3</v>
      </c>
      <c r="D1202" s="108" t="str">
        <f>IF(B1202&lt;&gt;"",VLOOKUP(B1202,Projetos!E:G,3,0))</f>
        <v>PDE_Serra_Verde</v>
      </c>
      <c r="E1202" s="22" t="s">
        <v>21</v>
      </c>
      <c r="F1202" s="71" t="s">
        <v>638</v>
      </c>
      <c r="G1202" s="35" t="s">
        <v>174</v>
      </c>
      <c r="H1202" s="42">
        <v>45532</v>
      </c>
      <c r="I1202" s="104">
        <v>0.33333333333333331</v>
      </c>
      <c r="J1202" s="35" t="s">
        <v>14</v>
      </c>
      <c r="K1202" s="54"/>
    </row>
    <row r="1203" spans="2:11" ht="30">
      <c r="B1203" s="22" t="s">
        <v>156</v>
      </c>
      <c r="C1203" s="35">
        <v>3</v>
      </c>
      <c r="D1203" s="108" t="str">
        <f>IF(B1203&lt;&gt;"",VLOOKUP(B1203,Projetos!E:G,3,0))</f>
        <v>PDE_Serra_Verde</v>
      </c>
      <c r="E1203" s="22" t="s">
        <v>21</v>
      </c>
      <c r="F1203" s="71" t="s">
        <v>638</v>
      </c>
      <c r="G1203" s="35" t="s">
        <v>174</v>
      </c>
      <c r="H1203" s="42">
        <v>45533</v>
      </c>
      <c r="I1203" s="104">
        <v>0.33333333333333331</v>
      </c>
      <c r="J1203" s="35" t="s">
        <v>14</v>
      </c>
      <c r="K1203" s="54"/>
    </row>
    <row r="1204" spans="2:11" ht="30">
      <c r="B1204" s="22" t="s">
        <v>156</v>
      </c>
      <c r="C1204" s="35">
        <v>3</v>
      </c>
      <c r="D1204" s="108" t="str">
        <f>IF(B1204&lt;&gt;"",VLOOKUP(B1204,Projetos!E:G,3,0))</f>
        <v>PDE_Serra_Verde</v>
      </c>
      <c r="E1204" s="22" t="s">
        <v>21</v>
      </c>
      <c r="F1204" s="71" t="s">
        <v>638</v>
      </c>
      <c r="G1204" s="35" t="s">
        <v>174</v>
      </c>
      <c r="H1204" s="42">
        <v>45534</v>
      </c>
      <c r="I1204" s="104">
        <v>0.33333333333333331</v>
      </c>
      <c r="J1204" s="35" t="s">
        <v>14</v>
      </c>
      <c r="K1204" s="54"/>
    </row>
    <row r="1205" spans="2:11">
      <c r="B1205" s="50" t="s">
        <v>156</v>
      </c>
      <c r="C1205" s="129">
        <f>IF(B1205&lt;&gt;"",VLOOKUP(B1205,Projetos!E:F,2,0),"")</f>
        <v>3</v>
      </c>
      <c r="D1205" s="87"/>
      <c r="E1205" s="50" t="s">
        <v>40</v>
      </c>
      <c r="F1205" s="130" t="s">
        <v>639</v>
      </c>
      <c r="G1205" s="131" t="s">
        <v>528</v>
      </c>
      <c r="H1205" s="132">
        <v>45532</v>
      </c>
      <c r="I1205" s="119">
        <v>4.1666666666666664E-2</v>
      </c>
      <c r="J1205" s="133" t="s">
        <v>14</v>
      </c>
      <c r="K1205" s="22"/>
    </row>
    <row r="1206" spans="2:11">
      <c r="B1206" s="22" t="s">
        <v>192</v>
      </c>
      <c r="C1206" s="28">
        <f>IF(B1206&lt;&gt;"",VLOOKUP(B1206,Projetos!E:F,2,0),"")</f>
        <v>32</v>
      </c>
      <c r="D1206" s="87"/>
      <c r="E1206" s="22" t="s">
        <v>193</v>
      </c>
      <c r="F1206" s="96" t="s">
        <v>640</v>
      </c>
      <c r="G1206" s="35" t="s">
        <v>528</v>
      </c>
      <c r="H1206" s="42">
        <v>45532</v>
      </c>
      <c r="I1206" s="59">
        <v>0.16666666666666666</v>
      </c>
      <c r="J1206" s="66" t="s">
        <v>14</v>
      </c>
      <c r="K1206" s="22"/>
    </row>
    <row r="1207" spans="2:11" ht="30">
      <c r="B1207" s="22" t="s">
        <v>156</v>
      </c>
      <c r="C1207" s="28">
        <f>IF(B1207&lt;&gt;"",VLOOKUP(B1207,Projetos!E:F,2,0),"")</f>
        <v>3</v>
      </c>
      <c r="D1207" s="87"/>
      <c r="E1207" s="22" t="s">
        <v>40</v>
      </c>
      <c r="F1207" s="96" t="s">
        <v>641</v>
      </c>
      <c r="G1207" s="35" t="s">
        <v>525</v>
      </c>
      <c r="H1207" s="42">
        <v>45532</v>
      </c>
      <c r="I1207" s="59">
        <v>0.25</v>
      </c>
      <c r="J1207" s="66" t="s">
        <v>14</v>
      </c>
      <c r="K1207" s="22"/>
    </row>
    <row r="1208" spans="2:11" ht="30">
      <c r="B1208" s="22" t="s">
        <v>156</v>
      </c>
      <c r="C1208" s="28">
        <f>IF(B1208&lt;&gt;"",VLOOKUP(B1208,Projetos!E:F,2,0),"")</f>
        <v>3</v>
      </c>
      <c r="D1208" s="87"/>
      <c r="E1208" s="22" t="s">
        <v>40</v>
      </c>
      <c r="F1208" s="96" t="s">
        <v>641</v>
      </c>
      <c r="G1208" s="35" t="s">
        <v>525</v>
      </c>
      <c r="H1208" s="42">
        <v>45533</v>
      </c>
      <c r="I1208" s="59">
        <v>0.125</v>
      </c>
      <c r="J1208" s="66" t="s">
        <v>14</v>
      </c>
      <c r="K1208" s="22"/>
    </row>
    <row r="1209" spans="2:11">
      <c r="B1209" s="22" t="s">
        <v>156</v>
      </c>
      <c r="C1209" s="28">
        <f>IF(B1209&lt;&gt;"",VLOOKUP(B1209,Projetos!E:F,2,0),"")</f>
        <v>3</v>
      </c>
      <c r="D1209" s="87"/>
      <c r="E1209" s="22" t="s">
        <v>40</v>
      </c>
      <c r="F1209" s="96" t="s">
        <v>642</v>
      </c>
      <c r="G1209" s="35" t="s">
        <v>20</v>
      </c>
      <c r="H1209" s="42">
        <v>45532</v>
      </c>
      <c r="I1209" s="59">
        <v>0.125</v>
      </c>
      <c r="J1209" s="66" t="s">
        <v>14</v>
      </c>
      <c r="K1209" s="22"/>
    </row>
    <row r="1210" spans="2:11" ht="30">
      <c r="B1210" s="22" t="s">
        <v>643</v>
      </c>
      <c r="C1210" s="28">
        <f>IF(B1210&lt;&gt;"",VLOOKUP(B1210,Projetos!E:F,2,0),"")</f>
        <v>52</v>
      </c>
      <c r="D1210" s="87"/>
      <c r="E1210" s="22" t="s">
        <v>21</v>
      </c>
      <c r="F1210" s="96" t="s">
        <v>644</v>
      </c>
      <c r="G1210" s="35" t="s">
        <v>20</v>
      </c>
      <c r="H1210" s="42">
        <v>45532</v>
      </c>
      <c r="I1210" s="59">
        <v>0.125</v>
      </c>
      <c r="J1210" s="66" t="s">
        <v>14</v>
      </c>
      <c r="K1210" s="22"/>
    </row>
    <row r="1211" spans="2:11">
      <c r="B1211" s="22" t="s">
        <v>138</v>
      </c>
      <c r="C1211" s="28">
        <f>IF(B1211&lt;&gt;"",VLOOKUP(B1211,Projetos!E:F,2,0),"")</f>
        <v>30</v>
      </c>
      <c r="D1211" s="87"/>
      <c r="E1211" s="22" t="s">
        <v>153</v>
      </c>
      <c r="F1211" s="96" t="s">
        <v>645</v>
      </c>
      <c r="G1211" s="35" t="s">
        <v>20</v>
      </c>
      <c r="H1211" s="42">
        <v>45532</v>
      </c>
      <c r="I1211" s="59">
        <v>8.3333333333333329E-2</v>
      </c>
      <c r="J1211" s="66" t="s">
        <v>14</v>
      </c>
      <c r="K1211" s="22"/>
    </row>
    <row r="1212" spans="2:11">
      <c r="B1212" s="22" t="s">
        <v>136</v>
      </c>
      <c r="C1212" s="28">
        <f>IF(B1212&lt;&gt;"",VLOOKUP(B1212,Projetos!E:F,2,0),"")</f>
        <v>25</v>
      </c>
      <c r="D1212" s="87"/>
      <c r="E1212" s="22" t="s">
        <v>49</v>
      </c>
      <c r="F1212" s="96" t="s">
        <v>631</v>
      </c>
      <c r="G1212" s="35" t="s">
        <v>64</v>
      </c>
      <c r="H1212" s="42">
        <v>45531</v>
      </c>
      <c r="I1212" s="59">
        <v>8.3333333333333329E-2</v>
      </c>
      <c r="J1212" s="66" t="s">
        <v>14</v>
      </c>
      <c r="K1212" s="22"/>
    </row>
    <row r="1213" spans="2:11">
      <c r="B1213" s="22" t="s">
        <v>138</v>
      </c>
      <c r="C1213" s="28">
        <f>IF(B1213&lt;&gt;"",VLOOKUP(B1213,Projetos!E:F,2,0),"")</f>
        <v>30</v>
      </c>
      <c r="D1213" s="87"/>
      <c r="E1213" s="22" t="s">
        <v>153</v>
      </c>
      <c r="F1213" s="96" t="s">
        <v>645</v>
      </c>
      <c r="G1213" s="35" t="s">
        <v>20</v>
      </c>
      <c r="H1213" s="42">
        <v>45533</v>
      </c>
      <c r="I1213" s="59">
        <v>0.16666666666666666</v>
      </c>
      <c r="J1213" s="66" t="s">
        <v>14</v>
      </c>
      <c r="K1213" s="22"/>
    </row>
    <row r="1214" spans="2:11">
      <c r="B1214" s="22" t="s">
        <v>61</v>
      </c>
      <c r="C1214" s="28">
        <f>IF(B1214&lt;&gt;"",VLOOKUP(B1214,Projetos!E:F,2,0),"")</f>
        <v>11</v>
      </c>
      <c r="D1214" s="87"/>
      <c r="E1214" s="22" t="s">
        <v>49</v>
      </c>
      <c r="F1214" s="96" t="s">
        <v>646</v>
      </c>
      <c r="G1214" s="35" t="s">
        <v>20</v>
      </c>
      <c r="H1214" s="42">
        <v>45537</v>
      </c>
      <c r="I1214" s="59">
        <v>0.10416666666666667</v>
      </c>
      <c r="J1214" s="66" t="s">
        <v>14</v>
      </c>
      <c r="K1214" s="22"/>
    </row>
    <row r="1215" spans="2:11">
      <c r="B1215" s="22" t="s">
        <v>176</v>
      </c>
      <c r="C1215" s="28">
        <f>IF(B1215&lt;&gt;"",VLOOKUP(B1215,Projetos!E:F,2,0),"")</f>
        <v>31</v>
      </c>
      <c r="D1215" s="87"/>
      <c r="E1215" s="22" t="s">
        <v>23</v>
      </c>
      <c r="F1215" s="96" t="s">
        <v>647</v>
      </c>
      <c r="G1215" s="35" t="s">
        <v>20</v>
      </c>
      <c r="H1215" s="42">
        <v>45534</v>
      </c>
      <c r="I1215" s="59">
        <v>0.20833333333333334</v>
      </c>
      <c r="J1215" s="66" t="s">
        <v>14</v>
      </c>
      <c r="K1215" s="22"/>
    </row>
    <row r="1216" spans="2:11">
      <c r="B1216" s="22" t="s">
        <v>192</v>
      </c>
      <c r="C1216" s="28">
        <f>IF(B1216&lt;&gt;"",VLOOKUP(B1216,Projetos!E:F,2,0),"")</f>
        <v>32</v>
      </c>
      <c r="D1216" s="87"/>
      <c r="E1216" s="22" t="s">
        <v>193</v>
      </c>
      <c r="F1216" s="96" t="s">
        <v>648</v>
      </c>
      <c r="G1216" s="35" t="s">
        <v>20</v>
      </c>
      <c r="H1216" s="42">
        <v>45534</v>
      </c>
      <c r="I1216" s="59">
        <v>0.125</v>
      </c>
      <c r="J1216" s="66" t="s">
        <v>14</v>
      </c>
      <c r="K1216" s="22"/>
    </row>
    <row r="1217" spans="2:11">
      <c r="B1217" s="22" t="s">
        <v>140</v>
      </c>
      <c r="C1217" s="28">
        <f>IF(B1217&lt;&gt;"",VLOOKUP(B1217,Projetos!E:F,2,0),"")</f>
        <v>39</v>
      </c>
      <c r="D1217" s="87"/>
      <c r="E1217" s="22" t="s">
        <v>16</v>
      </c>
      <c r="F1217" s="96" t="s">
        <v>649</v>
      </c>
      <c r="G1217" s="35" t="s">
        <v>64</v>
      </c>
      <c r="H1217" s="42">
        <v>45532</v>
      </c>
      <c r="I1217" s="59">
        <v>4.1666666666666664E-2</v>
      </c>
      <c r="J1217" s="66" t="s">
        <v>14</v>
      </c>
      <c r="K1217" s="22"/>
    </row>
    <row r="1218" spans="2:11" ht="30">
      <c r="B1218" s="22" t="s">
        <v>136</v>
      </c>
      <c r="C1218" s="28">
        <f>IF(B1218&lt;&gt;"",VLOOKUP(B1218,Projetos!E:F,2,0),"")</f>
        <v>25</v>
      </c>
      <c r="D1218" s="87"/>
      <c r="E1218" s="22" t="s">
        <v>40</v>
      </c>
      <c r="F1218" s="96" t="s">
        <v>650</v>
      </c>
      <c r="G1218" s="35" t="s">
        <v>64</v>
      </c>
      <c r="H1218" s="42">
        <v>45532</v>
      </c>
      <c r="I1218" s="59">
        <v>0.25</v>
      </c>
      <c r="J1218" s="66" t="s">
        <v>14</v>
      </c>
      <c r="K1218" s="22"/>
    </row>
    <row r="1219" spans="2:11">
      <c r="B1219" s="22" t="s">
        <v>192</v>
      </c>
      <c r="C1219" s="28">
        <f>IF(B1219&lt;&gt;"",VLOOKUP(B1219,Projetos!E:F,2,0),"")</f>
        <v>32</v>
      </c>
      <c r="D1219" s="87"/>
      <c r="E1219" s="22" t="s">
        <v>193</v>
      </c>
      <c r="F1219" s="96" t="s">
        <v>554</v>
      </c>
      <c r="G1219" s="35" t="s">
        <v>64</v>
      </c>
      <c r="H1219" s="42">
        <v>45532</v>
      </c>
      <c r="I1219" s="59">
        <v>4.1666666666666664E-2</v>
      </c>
      <c r="J1219" s="66" t="s">
        <v>14</v>
      </c>
      <c r="K1219" s="22"/>
    </row>
    <row r="1220" spans="2:11">
      <c r="B1220" s="22" t="s">
        <v>136</v>
      </c>
      <c r="C1220" s="28">
        <f>IF(B1220&lt;&gt;"",VLOOKUP(B1220,Projetos!E:F,2,0),"")</f>
        <v>25</v>
      </c>
      <c r="D1220" s="87"/>
      <c r="E1220" s="22" t="s">
        <v>31</v>
      </c>
      <c r="F1220" s="72" t="s">
        <v>651</v>
      </c>
      <c r="G1220" s="35" t="s">
        <v>64</v>
      </c>
      <c r="H1220" s="42">
        <v>45533</v>
      </c>
      <c r="I1220" s="59">
        <v>0.20833333333333334</v>
      </c>
      <c r="J1220" s="66" t="s">
        <v>14</v>
      </c>
      <c r="K1220" s="22"/>
    </row>
    <row r="1221" spans="2:11">
      <c r="B1221" s="22" t="s">
        <v>260</v>
      </c>
      <c r="C1221" s="28">
        <f>IF(B1221&lt;&gt;"",VLOOKUP(B1221,Projetos!E:F,2,0),"")</f>
        <v>19</v>
      </c>
      <c r="D1221" s="87"/>
      <c r="E1221" s="22" t="s">
        <v>26</v>
      </c>
      <c r="F1221" s="96" t="s">
        <v>652</v>
      </c>
      <c r="G1221" s="35" t="s">
        <v>34</v>
      </c>
      <c r="H1221" s="42">
        <v>45533</v>
      </c>
      <c r="I1221" s="59">
        <v>8.3333333333333329E-2</v>
      </c>
      <c r="J1221" s="66" t="s">
        <v>14</v>
      </c>
      <c r="K1221" s="22"/>
    </row>
    <row r="1222" spans="2:11" ht="30">
      <c r="B1222" s="22" t="s">
        <v>33</v>
      </c>
      <c r="C1222" s="28">
        <f>IF(B1222&lt;&gt;"",VLOOKUP(B1222,Projetos!E:F,2,0),"")</f>
        <v>18</v>
      </c>
      <c r="D1222" s="87"/>
      <c r="E1222" s="22" t="s">
        <v>26</v>
      </c>
      <c r="F1222" s="105" t="s">
        <v>653</v>
      </c>
      <c r="G1222" s="35" t="s">
        <v>34</v>
      </c>
      <c r="H1222" s="42">
        <v>45533</v>
      </c>
      <c r="I1222" s="59">
        <v>0.25</v>
      </c>
      <c r="J1222" s="66" t="s">
        <v>14</v>
      </c>
      <c r="K1222" s="22"/>
    </row>
    <row r="1223" spans="2:11">
      <c r="B1223" s="22" t="s">
        <v>260</v>
      </c>
      <c r="C1223" s="28">
        <f>IF(B1223&lt;&gt;"",VLOOKUP(B1223,Projetos!E:F,2,0),"")</f>
        <v>19</v>
      </c>
      <c r="D1223" s="87"/>
      <c r="E1223" s="22" t="s">
        <v>40</v>
      </c>
      <c r="F1223" s="96" t="s">
        <v>654</v>
      </c>
      <c r="G1223" s="35" t="s">
        <v>42</v>
      </c>
      <c r="H1223" s="42">
        <v>45533</v>
      </c>
      <c r="I1223" s="59">
        <v>0.16666666666666666</v>
      </c>
      <c r="J1223" s="66" t="s">
        <v>14</v>
      </c>
      <c r="K1223" s="22"/>
    </row>
    <row r="1224" spans="2:11">
      <c r="B1224" s="22" t="s">
        <v>385</v>
      </c>
      <c r="C1224" s="28">
        <f>IF(B1224&lt;&gt;"",VLOOKUP(B1224,Projetos!E:F,2,0),"")</f>
        <v>48</v>
      </c>
      <c r="D1224" s="87"/>
      <c r="E1224" s="22" t="s">
        <v>40</v>
      </c>
      <c r="F1224" s="96" t="s">
        <v>655</v>
      </c>
      <c r="G1224" s="35" t="s">
        <v>42</v>
      </c>
      <c r="H1224" s="42">
        <v>45533</v>
      </c>
      <c r="I1224" s="59">
        <v>8.3333333333333329E-2</v>
      </c>
      <c r="J1224" s="66" t="s">
        <v>14</v>
      </c>
      <c r="K1224" s="22"/>
    </row>
    <row r="1225" spans="2:11">
      <c r="B1225" s="22" t="s">
        <v>140</v>
      </c>
      <c r="C1225" s="28">
        <f>IF(B1225&lt;&gt;"",VLOOKUP(B1225,Projetos!E:F,2,0),"")</f>
        <v>39</v>
      </c>
      <c r="D1225" s="87"/>
      <c r="E1225" s="22" t="s">
        <v>16</v>
      </c>
      <c r="F1225" s="96" t="s">
        <v>649</v>
      </c>
      <c r="G1225" s="35" t="s">
        <v>42</v>
      </c>
      <c r="H1225" s="42">
        <v>45533</v>
      </c>
      <c r="I1225" s="59">
        <v>4.1666666666666664E-2</v>
      </c>
      <c r="J1225" s="66" t="s">
        <v>14</v>
      </c>
      <c r="K1225" s="22"/>
    </row>
    <row r="1226" spans="2:11">
      <c r="B1226" s="22" t="s">
        <v>140</v>
      </c>
      <c r="C1226" s="28">
        <f>IF(B1226&lt;&gt;"",VLOOKUP(B1226,Projetos!E:F,2,0),"")</f>
        <v>39</v>
      </c>
      <c r="D1226" s="87"/>
      <c r="E1226" s="22" t="s">
        <v>16</v>
      </c>
      <c r="F1226" s="96" t="s">
        <v>649</v>
      </c>
      <c r="G1226" s="35" t="s">
        <v>42</v>
      </c>
      <c r="H1226" s="42">
        <v>45532</v>
      </c>
      <c r="I1226" s="59">
        <v>4.1666666666666664E-2</v>
      </c>
      <c r="J1226" s="66" t="s">
        <v>14</v>
      </c>
      <c r="K1226" s="22"/>
    </row>
    <row r="1227" spans="2:11">
      <c r="B1227" s="22" t="s">
        <v>140</v>
      </c>
      <c r="C1227" s="28">
        <f>IF(B1227&lt;&gt;"",VLOOKUP(B1227,Projetos!E:F,2,0),"")</f>
        <v>39</v>
      </c>
      <c r="D1227" s="87"/>
      <c r="E1227" s="22" t="s">
        <v>16</v>
      </c>
      <c r="F1227" s="96" t="s">
        <v>649</v>
      </c>
      <c r="G1227" s="35" t="s">
        <v>64</v>
      </c>
      <c r="H1227" s="42">
        <v>45533</v>
      </c>
      <c r="I1227" s="59">
        <v>4.1666666666666664E-2</v>
      </c>
      <c r="J1227" s="66" t="s">
        <v>14</v>
      </c>
      <c r="K1227" s="22"/>
    </row>
    <row r="1228" spans="2:11">
      <c r="B1228" s="22" t="s">
        <v>192</v>
      </c>
      <c r="C1228" s="28">
        <f>IF(B1228&lt;&gt;"",VLOOKUP(B1228,Projetos!E:F,2,0),"")</f>
        <v>32</v>
      </c>
      <c r="D1228" s="87"/>
      <c r="E1228" s="22" t="s">
        <v>193</v>
      </c>
      <c r="F1228" s="96" t="s">
        <v>554</v>
      </c>
      <c r="G1228" s="35" t="s">
        <v>64</v>
      </c>
      <c r="H1228" s="42">
        <v>45533</v>
      </c>
      <c r="I1228" s="59">
        <v>8.3333333333333329E-2</v>
      </c>
      <c r="J1228" s="66" t="s">
        <v>14</v>
      </c>
      <c r="K1228" s="22"/>
    </row>
    <row r="1229" spans="2:11">
      <c r="B1229" s="22" t="s">
        <v>156</v>
      </c>
      <c r="C1229" s="28">
        <f>IF(B1229&lt;&gt;"",VLOOKUP(B1229,Projetos!E:F,2,0),"")</f>
        <v>3</v>
      </c>
      <c r="D1229" s="87"/>
      <c r="E1229" s="22" t="s">
        <v>40</v>
      </c>
      <c r="F1229" s="96" t="s">
        <v>656</v>
      </c>
      <c r="G1229" s="35" t="s">
        <v>66</v>
      </c>
      <c r="H1229" s="42">
        <v>45532</v>
      </c>
      <c r="I1229" s="59">
        <v>0.25</v>
      </c>
      <c r="J1229" s="66" t="s">
        <v>14</v>
      </c>
      <c r="K1229" s="22"/>
    </row>
    <row r="1230" spans="2:11">
      <c r="B1230" s="22" t="s">
        <v>156</v>
      </c>
      <c r="C1230" s="28">
        <f>IF(B1230&lt;&gt;"",VLOOKUP(B1230,Projetos!E:F,2,0),"")</f>
        <v>3</v>
      </c>
      <c r="D1230" s="87"/>
      <c r="E1230" s="22" t="s">
        <v>40</v>
      </c>
      <c r="F1230" s="96" t="s">
        <v>657</v>
      </c>
      <c r="G1230" s="35" t="s">
        <v>528</v>
      </c>
      <c r="H1230" s="42">
        <v>45533</v>
      </c>
      <c r="I1230" s="59">
        <v>8.3333333333333329E-2</v>
      </c>
      <c r="J1230" s="66" t="s">
        <v>14</v>
      </c>
      <c r="K1230" s="22"/>
    </row>
    <row r="1231" spans="2:11">
      <c r="B1231" s="22" t="s">
        <v>192</v>
      </c>
      <c r="C1231" s="28">
        <f>IF(B1231&lt;&gt;"",VLOOKUP(B1231,Projetos!E:F,2,0),"")</f>
        <v>32</v>
      </c>
      <c r="D1231" s="87"/>
      <c r="E1231" s="22" t="s">
        <v>193</v>
      </c>
      <c r="F1231" s="96" t="s">
        <v>658</v>
      </c>
      <c r="G1231" s="35" t="s">
        <v>528</v>
      </c>
      <c r="H1231" s="42">
        <v>45533</v>
      </c>
      <c r="I1231" s="59">
        <v>0.125</v>
      </c>
      <c r="J1231" s="66" t="s">
        <v>14</v>
      </c>
      <c r="K1231" s="22"/>
    </row>
    <row r="1232" spans="2:11" ht="30">
      <c r="B1232" s="22" t="s">
        <v>380</v>
      </c>
      <c r="C1232" s="28">
        <f>IF(B1232&lt;&gt;"",VLOOKUP(B1232,Projetos!E:F,2,0),"")</f>
        <v>49</v>
      </c>
      <c r="D1232" s="87"/>
      <c r="E1232" s="22" t="s">
        <v>247</v>
      </c>
      <c r="F1232" s="96" t="s">
        <v>659</v>
      </c>
      <c r="G1232" s="35" t="s">
        <v>19</v>
      </c>
      <c r="H1232" s="42">
        <v>45533</v>
      </c>
      <c r="I1232" s="59">
        <v>0.16666666666666666</v>
      </c>
      <c r="J1232" s="66" t="s">
        <v>14</v>
      </c>
      <c r="K1232" s="22"/>
    </row>
    <row r="1233" spans="2:11">
      <c r="B1233" s="22" t="s">
        <v>156</v>
      </c>
      <c r="C1233" s="28">
        <f>IF(B1233&lt;&gt;"",VLOOKUP(B1233,Projetos!E:F,2,0),"")</f>
        <v>3</v>
      </c>
      <c r="D1233" s="87"/>
      <c r="E1233" s="22" t="s">
        <v>40</v>
      </c>
      <c r="F1233" s="96" t="s">
        <v>656</v>
      </c>
      <c r="G1233" s="35" t="s">
        <v>66</v>
      </c>
      <c r="H1233" s="42">
        <v>45533</v>
      </c>
      <c r="I1233" s="59">
        <v>0.25</v>
      </c>
      <c r="J1233" s="66" t="s">
        <v>14</v>
      </c>
      <c r="K1233" s="22"/>
    </row>
    <row r="1234" spans="2:11">
      <c r="B1234" s="22" t="s">
        <v>156</v>
      </c>
      <c r="C1234" s="28">
        <f>IF(B1234&lt;&gt;"",VLOOKUP(B1234,Projetos!E:F,2,0),"")</f>
        <v>3</v>
      </c>
      <c r="D1234" s="87"/>
      <c r="E1234" s="22" t="s">
        <v>40</v>
      </c>
      <c r="F1234" s="96" t="s">
        <v>656</v>
      </c>
      <c r="G1234" s="35" t="s">
        <v>66</v>
      </c>
      <c r="H1234" s="42">
        <v>45534</v>
      </c>
      <c r="I1234" s="59">
        <v>0.125</v>
      </c>
      <c r="J1234" s="66" t="s">
        <v>14</v>
      </c>
      <c r="K1234" s="22"/>
    </row>
    <row r="1235" spans="2:11">
      <c r="B1235" s="22" t="s">
        <v>192</v>
      </c>
      <c r="C1235" s="28">
        <f>IF(B1235&lt;&gt;"",VLOOKUP(B1235,Projetos!E:F,2,0),"")</f>
        <v>32</v>
      </c>
      <c r="D1235" s="87"/>
      <c r="E1235" s="22" t="s">
        <v>193</v>
      </c>
      <c r="F1235" s="96" t="s">
        <v>648</v>
      </c>
      <c r="G1235" s="35" t="s">
        <v>66</v>
      </c>
      <c r="H1235" s="42">
        <v>45534</v>
      </c>
      <c r="I1235" s="59">
        <v>0.125</v>
      </c>
      <c r="J1235" s="66" t="s">
        <v>14</v>
      </c>
      <c r="K1235" s="22"/>
    </row>
    <row r="1236" spans="2:11">
      <c r="B1236" s="22" t="s">
        <v>140</v>
      </c>
      <c r="C1236" s="28">
        <f>IF(B1236&lt;&gt;"",VLOOKUP(B1236,Projetos!E:F,2,0),"")</f>
        <v>39</v>
      </c>
      <c r="D1236" s="87"/>
      <c r="E1236" s="22" t="s">
        <v>21</v>
      </c>
      <c r="F1236" s="96" t="s">
        <v>660</v>
      </c>
      <c r="G1236" s="35" t="s">
        <v>19</v>
      </c>
      <c r="H1236" s="42">
        <v>45534</v>
      </c>
      <c r="I1236" s="59">
        <v>4.1666666666666664E-2</v>
      </c>
      <c r="J1236" s="66" t="s">
        <v>14</v>
      </c>
      <c r="K1236" s="22"/>
    </row>
    <row r="1237" spans="2:11">
      <c r="B1237" s="22" t="s">
        <v>33</v>
      </c>
      <c r="C1237" s="28">
        <f>IF(B1237&lt;&gt;"",VLOOKUP(B1237,Projetos!E:F,2,0),"")</f>
        <v>18</v>
      </c>
      <c r="D1237" s="87"/>
      <c r="E1237" s="22" t="s">
        <v>31</v>
      </c>
      <c r="F1237" s="96" t="s">
        <v>661</v>
      </c>
      <c r="G1237" s="35" t="s">
        <v>34</v>
      </c>
      <c r="H1237" s="42">
        <v>45534</v>
      </c>
      <c r="I1237" s="59">
        <v>0.125</v>
      </c>
      <c r="J1237" s="66" t="s">
        <v>14</v>
      </c>
      <c r="K1237" s="22"/>
    </row>
    <row r="1238" spans="2:11" ht="30">
      <c r="B1238" s="22" t="s">
        <v>138</v>
      </c>
      <c r="C1238" s="28">
        <f>IF(B1238&lt;&gt;"",VLOOKUP(B1238,Projetos!E:F,2,0),"")</f>
        <v>30</v>
      </c>
      <c r="D1238" s="87"/>
      <c r="E1238" s="22" t="s">
        <v>26</v>
      </c>
      <c r="F1238" s="96" t="s">
        <v>662</v>
      </c>
      <c r="G1238" s="35" t="s">
        <v>34</v>
      </c>
      <c r="H1238" s="42">
        <v>45534</v>
      </c>
      <c r="I1238" s="59">
        <v>8.3333333333333329E-2</v>
      </c>
      <c r="J1238" s="66" t="s">
        <v>14</v>
      </c>
      <c r="K1238" s="22"/>
    </row>
    <row r="1239" spans="2:11" ht="30">
      <c r="B1239" s="22" t="s">
        <v>260</v>
      </c>
      <c r="C1239" s="28">
        <f>IF(B1239&lt;&gt;"",VLOOKUP(B1239,Projetos!E:F,2,0),"")</f>
        <v>19</v>
      </c>
      <c r="D1239" s="87"/>
      <c r="E1239" s="22" t="s">
        <v>26</v>
      </c>
      <c r="F1239" s="96" t="s">
        <v>663</v>
      </c>
      <c r="G1239" s="35" t="s">
        <v>34</v>
      </c>
      <c r="H1239" s="42">
        <v>45534</v>
      </c>
      <c r="I1239" s="59">
        <v>0.125</v>
      </c>
      <c r="J1239" s="66" t="s">
        <v>14</v>
      </c>
      <c r="K1239" s="22"/>
    </row>
    <row r="1240" spans="2:11">
      <c r="B1240" s="22" t="s">
        <v>192</v>
      </c>
      <c r="C1240" s="28">
        <f>IF(B1240&lt;&gt;"",VLOOKUP(B1240,Projetos!E:F,2,0),"")</f>
        <v>32</v>
      </c>
      <c r="D1240" s="87"/>
      <c r="E1240" s="22" t="s">
        <v>193</v>
      </c>
      <c r="F1240" s="96" t="s">
        <v>664</v>
      </c>
      <c r="G1240" s="35" t="s">
        <v>528</v>
      </c>
      <c r="H1240" s="42">
        <v>45534</v>
      </c>
      <c r="I1240" s="59">
        <v>0.125</v>
      </c>
      <c r="J1240" s="66" t="s">
        <v>14</v>
      </c>
      <c r="K1240" s="22"/>
    </row>
    <row r="1241" spans="2:11">
      <c r="B1241" s="22" t="s">
        <v>192</v>
      </c>
      <c r="C1241" s="28">
        <f>IF(B1241&lt;&gt;"",VLOOKUP(B1241,Projetos!E:F,2,0),"")</f>
        <v>32</v>
      </c>
      <c r="D1241" s="87"/>
      <c r="E1241" s="22" t="s">
        <v>193</v>
      </c>
      <c r="F1241" s="96" t="s">
        <v>665</v>
      </c>
      <c r="G1241" s="35" t="s">
        <v>528</v>
      </c>
      <c r="H1241" s="42">
        <v>45534</v>
      </c>
      <c r="I1241" s="59">
        <v>8.3333333333333329E-2</v>
      </c>
      <c r="J1241" s="66" t="s">
        <v>14</v>
      </c>
      <c r="K1241" s="22"/>
    </row>
    <row r="1242" spans="2:11" ht="30">
      <c r="B1242" s="22" t="s">
        <v>138</v>
      </c>
      <c r="C1242" s="28">
        <f>IF(B1242&lt;&gt;"",VLOOKUP(B1242,Projetos!E:F,2,0),"")</f>
        <v>30</v>
      </c>
      <c r="D1242" s="87"/>
      <c r="E1242" s="22" t="s">
        <v>26</v>
      </c>
      <c r="F1242" s="105" t="s">
        <v>666</v>
      </c>
      <c r="G1242" s="35" t="s">
        <v>34</v>
      </c>
      <c r="H1242" s="42">
        <v>45537</v>
      </c>
      <c r="I1242" s="59">
        <v>8.3333333333333329E-2</v>
      </c>
      <c r="J1242" s="66" t="s">
        <v>14</v>
      </c>
      <c r="K1242" s="22"/>
    </row>
    <row r="1243" spans="2:11">
      <c r="B1243" s="22" t="s">
        <v>118</v>
      </c>
      <c r="C1243" s="28">
        <f>IF(B1243&lt;&gt;"",VLOOKUP(B1243,Projetos!E:F,2,0),"")</f>
        <v>21</v>
      </c>
      <c r="D1243" s="87"/>
      <c r="E1243" s="22" t="s">
        <v>49</v>
      </c>
      <c r="F1243" s="96" t="s">
        <v>166</v>
      </c>
      <c r="G1243" s="35" t="s">
        <v>28</v>
      </c>
      <c r="H1243" s="42">
        <v>45537</v>
      </c>
      <c r="I1243" s="59">
        <v>0.125</v>
      </c>
      <c r="J1243" s="66" t="s">
        <v>14</v>
      </c>
      <c r="K1243" s="22"/>
    </row>
    <row r="1244" spans="2:11">
      <c r="B1244" s="22" t="s">
        <v>192</v>
      </c>
      <c r="C1244" s="28">
        <f>IF(B1244&lt;&gt;"",VLOOKUP(B1244,Projetos!E:F,2,0),"")</f>
        <v>32</v>
      </c>
      <c r="D1244" s="87"/>
      <c r="E1244" s="22" t="s">
        <v>193</v>
      </c>
      <c r="F1244" s="96" t="s">
        <v>664</v>
      </c>
      <c r="G1244" s="35" t="s">
        <v>525</v>
      </c>
      <c r="H1244" s="42">
        <v>45534</v>
      </c>
      <c r="I1244" s="59">
        <v>0.125</v>
      </c>
      <c r="J1244" s="66" t="s">
        <v>14</v>
      </c>
      <c r="K1244" s="22"/>
    </row>
    <row r="1245" spans="2:11">
      <c r="B1245" s="22" t="s">
        <v>156</v>
      </c>
      <c r="C1245" s="28">
        <f>IF(B1245&lt;&gt;"",VLOOKUP(B1245,Projetos!E:F,2,0),"")</f>
        <v>3</v>
      </c>
      <c r="D1245" s="87"/>
      <c r="E1245" s="22" t="s">
        <v>40</v>
      </c>
      <c r="F1245" s="96" t="s">
        <v>667</v>
      </c>
      <c r="G1245" s="35" t="s">
        <v>525</v>
      </c>
      <c r="H1245" s="42">
        <v>45534</v>
      </c>
      <c r="I1245" s="59">
        <v>4.1666666666666664E-2</v>
      </c>
      <c r="J1245" s="66" t="s">
        <v>14</v>
      </c>
      <c r="K1245" s="22"/>
    </row>
    <row r="1246" spans="2:11">
      <c r="B1246" s="22" t="s">
        <v>192</v>
      </c>
      <c r="C1246" s="28">
        <f>IF(B1246&lt;&gt;"",VLOOKUP(B1246,Projetos!E:F,2,0),"")</f>
        <v>32</v>
      </c>
      <c r="D1246" s="87"/>
      <c r="E1246" s="22" t="s">
        <v>193</v>
      </c>
      <c r="F1246" s="96" t="s">
        <v>668</v>
      </c>
      <c r="G1246" s="35" t="s">
        <v>525</v>
      </c>
      <c r="H1246" s="42">
        <v>45534</v>
      </c>
      <c r="I1246" s="59">
        <v>8.3333333333333329E-2</v>
      </c>
      <c r="J1246" s="66" t="s">
        <v>14</v>
      </c>
      <c r="K1246" s="22"/>
    </row>
    <row r="1247" spans="2:11" ht="30">
      <c r="B1247" s="22" t="s">
        <v>136</v>
      </c>
      <c r="C1247" s="28">
        <f>IF(B1247&lt;&gt;"",VLOOKUP(B1247,Projetos!E:F,2,0),"")</f>
        <v>25</v>
      </c>
      <c r="D1247" s="87"/>
      <c r="E1247" s="22" t="s">
        <v>49</v>
      </c>
      <c r="F1247" s="96" t="s">
        <v>669</v>
      </c>
      <c r="G1247" s="35" t="s">
        <v>64</v>
      </c>
      <c r="H1247" s="42">
        <v>45534</v>
      </c>
      <c r="I1247" s="59">
        <v>0.16666666666666666</v>
      </c>
      <c r="J1247" s="66" t="s">
        <v>14</v>
      </c>
      <c r="K1247" s="22"/>
    </row>
    <row r="1248" spans="2:11" ht="30">
      <c r="B1248" s="22" t="s">
        <v>260</v>
      </c>
      <c r="C1248" s="28">
        <f>IF(B1248&lt;&gt;"",VLOOKUP(B1248,Projetos!E:F,2,0),"")</f>
        <v>19</v>
      </c>
      <c r="D1248" s="87"/>
      <c r="E1248" s="22" t="s">
        <v>49</v>
      </c>
      <c r="F1248" s="96" t="s">
        <v>670</v>
      </c>
      <c r="G1248" s="35" t="s">
        <v>20</v>
      </c>
      <c r="H1248" s="42">
        <v>45537</v>
      </c>
      <c r="I1248" s="59">
        <v>8.3333333333333329E-2</v>
      </c>
      <c r="J1248" s="66" t="s">
        <v>14</v>
      </c>
      <c r="K1248" s="22"/>
    </row>
    <row r="1249" spans="2:11" ht="30">
      <c r="B1249" s="22" t="s">
        <v>138</v>
      </c>
      <c r="C1249" s="28">
        <f>IF(B1249&lt;&gt;"",VLOOKUP(B1249,Projetos!E:F,2,0),"")</f>
        <v>30</v>
      </c>
      <c r="D1249" s="87"/>
      <c r="E1249" s="22" t="s">
        <v>16</v>
      </c>
      <c r="F1249" s="96" t="s">
        <v>671</v>
      </c>
      <c r="G1249" s="35" t="s">
        <v>20</v>
      </c>
      <c r="H1249" s="42">
        <v>45537</v>
      </c>
      <c r="I1249" s="59">
        <v>8.3333333333333329E-2</v>
      </c>
      <c r="J1249" s="66" t="s">
        <v>14</v>
      </c>
      <c r="K1249" s="22"/>
    </row>
    <row r="1250" spans="2:11" ht="30">
      <c r="B1250" s="22" t="s">
        <v>138</v>
      </c>
      <c r="C1250" s="28">
        <f>IF(B1250&lt;&gt;"",VLOOKUP(B1250,Projetos!E:F,2,0),"")</f>
        <v>30</v>
      </c>
      <c r="D1250" s="87"/>
      <c r="E1250" s="22" t="s">
        <v>16</v>
      </c>
      <c r="F1250" s="96" t="s">
        <v>671</v>
      </c>
      <c r="G1250" s="35" t="s">
        <v>19</v>
      </c>
      <c r="H1250" s="42">
        <v>45537</v>
      </c>
      <c r="I1250" s="59">
        <v>8.3333333333333329E-2</v>
      </c>
      <c r="J1250" s="66" t="s">
        <v>14</v>
      </c>
      <c r="K1250" s="22"/>
    </row>
    <row r="1251" spans="2:11">
      <c r="B1251" s="22" t="s">
        <v>61</v>
      </c>
      <c r="C1251" s="28">
        <f>IF(B1251&lt;&gt;"",VLOOKUP(B1251,Projetos!E:F,2,0),"")</f>
        <v>11</v>
      </c>
      <c r="D1251" s="87"/>
      <c r="E1251" s="22" t="s">
        <v>49</v>
      </c>
      <c r="F1251" s="96" t="s">
        <v>646</v>
      </c>
      <c r="G1251" s="35" t="s">
        <v>20</v>
      </c>
      <c r="H1251" s="42">
        <v>45537</v>
      </c>
      <c r="I1251" s="59">
        <v>6.25E-2</v>
      </c>
      <c r="J1251" s="66" t="s">
        <v>14</v>
      </c>
      <c r="K1251" s="22"/>
    </row>
    <row r="1252" spans="2:11" ht="30">
      <c r="B1252" s="22" t="s">
        <v>138</v>
      </c>
      <c r="C1252" s="28">
        <f>IF(B1252&lt;&gt;"",VLOOKUP(B1252,Projetos!E:F,2,0),"")</f>
        <v>30</v>
      </c>
      <c r="D1252" s="87"/>
      <c r="E1252" s="22" t="s">
        <v>16</v>
      </c>
      <c r="F1252" s="96" t="s">
        <v>672</v>
      </c>
      <c r="G1252" s="35" t="s">
        <v>34</v>
      </c>
      <c r="H1252" s="42">
        <v>45537</v>
      </c>
      <c r="I1252" s="59">
        <v>8.3333333333333329E-2</v>
      </c>
      <c r="J1252" s="66" t="s">
        <v>14</v>
      </c>
      <c r="K1252" s="22"/>
    </row>
    <row r="1253" spans="2:11" ht="30">
      <c r="B1253" s="22" t="s">
        <v>138</v>
      </c>
      <c r="C1253" s="28">
        <f>IF(B1253&lt;&gt;"",VLOOKUP(B1253,Projetos!E:F,2,0),"")</f>
        <v>30</v>
      </c>
      <c r="D1253" s="87"/>
      <c r="E1253" s="22" t="s">
        <v>16</v>
      </c>
      <c r="F1253" s="96" t="s">
        <v>672</v>
      </c>
      <c r="G1253" s="35" t="s">
        <v>64</v>
      </c>
      <c r="H1253" s="42">
        <v>45537</v>
      </c>
      <c r="I1253" s="59">
        <v>8.3333333333333329E-2</v>
      </c>
      <c r="J1253" s="66" t="s">
        <v>14</v>
      </c>
      <c r="K1253" s="22"/>
    </row>
    <row r="1254" spans="2:11" ht="30">
      <c r="B1254" s="22" t="s">
        <v>138</v>
      </c>
      <c r="C1254" s="28">
        <f>IF(B1254&lt;&gt;"",VLOOKUP(B1254,Projetos!E:F,2,0),"")</f>
        <v>30</v>
      </c>
      <c r="D1254" s="87"/>
      <c r="E1254" s="22" t="s">
        <v>16</v>
      </c>
      <c r="F1254" s="96" t="s">
        <v>672</v>
      </c>
      <c r="G1254" s="35" t="s">
        <v>66</v>
      </c>
      <c r="H1254" s="42">
        <v>45537</v>
      </c>
      <c r="I1254" s="59">
        <v>8.3333333333333329E-2</v>
      </c>
      <c r="J1254" s="66" t="s">
        <v>14</v>
      </c>
      <c r="K1254" s="22"/>
    </row>
    <row r="1255" spans="2:11" ht="30">
      <c r="B1255" s="22" t="s">
        <v>138</v>
      </c>
      <c r="C1255" s="28">
        <f>IF(B1255&lt;&gt;"",VLOOKUP(B1255,Projetos!E:F,2,0),"")</f>
        <v>30</v>
      </c>
      <c r="D1255" s="87"/>
      <c r="E1255" s="22" t="s">
        <v>16</v>
      </c>
      <c r="F1255" s="96" t="s">
        <v>672</v>
      </c>
      <c r="G1255" s="35" t="s">
        <v>20</v>
      </c>
      <c r="H1255" s="42">
        <v>45537</v>
      </c>
      <c r="I1255" s="59">
        <v>8.3333333333333329E-2</v>
      </c>
      <c r="J1255" s="66" t="s">
        <v>14</v>
      </c>
      <c r="K1255" s="22"/>
    </row>
    <row r="1256" spans="2:11">
      <c r="B1256" s="22" t="s">
        <v>192</v>
      </c>
      <c r="C1256" s="28">
        <f>IF(B1256&lt;&gt;"",VLOOKUP(B1256,Projetos!E:F,2,0),"")</f>
        <v>32</v>
      </c>
      <c r="D1256" s="87"/>
      <c r="E1256" s="22" t="s">
        <v>193</v>
      </c>
      <c r="F1256" s="96" t="s">
        <v>673</v>
      </c>
      <c r="G1256" s="35" t="s">
        <v>528</v>
      </c>
      <c r="H1256" s="42">
        <v>45540</v>
      </c>
      <c r="I1256" s="59">
        <v>8.3333333333333329E-2</v>
      </c>
      <c r="J1256" s="66" t="s">
        <v>14</v>
      </c>
      <c r="K1256" s="22"/>
    </row>
    <row r="1257" spans="2:11" ht="30">
      <c r="B1257" s="22" t="s">
        <v>138</v>
      </c>
      <c r="C1257" s="28">
        <f>IF(B1257&lt;&gt;"",VLOOKUP(B1257,Projetos!E:F,2,0),"")</f>
        <v>30</v>
      </c>
      <c r="D1257" s="87"/>
      <c r="E1257" s="22" t="s">
        <v>16</v>
      </c>
      <c r="F1257" s="96" t="s">
        <v>672</v>
      </c>
      <c r="G1257" s="35" t="s">
        <v>525</v>
      </c>
      <c r="H1257" s="42">
        <v>45537</v>
      </c>
      <c r="I1257" s="59">
        <v>8.3333333333333329E-2</v>
      </c>
      <c r="J1257" s="66" t="s">
        <v>14</v>
      </c>
      <c r="K1257" s="22"/>
    </row>
    <row r="1258" spans="2:11" ht="30">
      <c r="B1258" s="22" t="s">
        <v>138</v>
      </c>
      <c r="C1258" s="28">
        <f>IF(B1258&lt;&gt;"",VLOOKUP(B1258,Projetos!E:F,2,0),"")</f>
        <v>30</v>
      </c>
      <c r="D1258" s="87"/>
      <c r="E1258" s="22" t="s">
        <v>16</v>
      </c>
      <c r="F1258" s="96" t="s">
        <v>672</v>
      </c>
      <c r="G1258" s="35" t="s">
        <v>178</v>
      </c>
      <c r="H1258" s="42">
        <v>45537</v>
      </c>
      <c r="I1258" s="59">
        <v>8.3333333333333329E-2</v>
      </c>
      <c r="J1258" s="66" t="s">
        <v>14</v>
      </c>
      <c r="K1258" s="22"/>
    </row>
    <row r="1259" spans="2:11" ht="30">
      <c r="B1259" s="22" t="s">
        <v>138</v>
      </c>
      <c r="C1259" s="28">
        <f>IF(B1259&lt;&gt;"",VLOOKUP(B1259,Projetos!E:F,2,0),"")</f>
        <v>30</v>
      </c>
      <c r="D1259" s="87"/>
      <c r="E1259" s="22" t="s">
        <v>16</v>
      </c>
      <c r="F1259" s="96" t="s">
        <v>672</v>
      </c>
      <c r="G1259" s="35" t="s">
        <v>19</v>
      </c>
      <c r="H1259" s="42">
        <v>45537</v>
      </c>
      <c r="I1259" s="59">
        <v>8.3333333333333329E-2</v>
      </c>
      <c r="J1259" s="66" t="s">
        <v>14</v>
      </c>
      <c r="K1259" s="22"/>
    </row>
    <row r="1260" spans="2:11">
      <c r="B1260" s="22" t="s">
        <v>192</v>
      </c>
      <c r="C1260" s="28">
        <f>IF(B1260&lt;&gt;"",VLOOKUP(B1260,Projetos!E:F,2,0),"")</f>
        <v>32</v>
      </c>
      <c r="D1260" s="87"/>
      <c r="E1260" s="22" t="s">
        <v>193</v>
      </c>
      <c r="F1260" s="96" t="s">
        <v>674</v>
      </c>
      <c r="G1260" s="35" t="s">
        <v>525</v>
      </c>
      <c r="H1260" s="42">
        <v>45537</v>
      </c>
      <c r="I1260" s="59">
        <v>0.16666666666666666</v>
      </c>
      <c r="J1260" s="66" t="s">
        <v>14</v>
      </c>
      <c r="K1260" s="22"/>
    </row>
    <row r="1261" spans="2:11">
      <c r="B1261" s="22" t="s">
        <v>61</v>
      </c>
      <c r="C1261" s="28">
        <f>IF(B1261&lt;&gt;"",VLOOKUP(B1261,Projetos!E:F,2,0),"")</f>
        <v>11</v>
      </c>
      <c r="D1261" s="87"/>
      <c r="E1261" s="22" t="s">
        <v>49</v>
      </c>
      <c r="F1261" s="96" t="s">
        <v>646</v>
      </c>
      <c r="G1261" s="35" t="s">
        <v>64</v>
      </c>
      <c r="H1261" s="42">
        <v>45537</v>
      </c>
      <c r="I1261" s="59">
        <v>6.25E-2</v>
      </c>
      <c r="J1261" s="66" t="s">
        <v>14</v>
      </c>
      <c r="K1261" s="22"/>
    </row>
    <row r="1262" spans="2:11">
      <c r="B1262" s="22" t="s">
        <v>140</v>
      </c>
      <c r="C1262" s="28">
        <f>IF(B1262&lt;&gt;"",VLOOKUP(B1262,Projetos!E:F,2,0),"")</f>
        <v>39</v>
      </c>
      <c r="D1262" s="87"/>
      <c r="E1262" s="22" t="s">
        <v>16</v>
      </c>
      <c r="F1262" s="96" t="s">
        <v>675</v>
      </c>
      <c r="G1262" s="35" t="s">
        <v>64</v>
      </c>
      <c r="H1262" s="42">
        <v>45537</v>
      </c>
      <c r="I1262" s="59">
        <v>4.1666666666666664E-2</v>
      </c>
      <c r="J1262" s="66" t="s">
        <v>14</v>
      </c>
      <c r="K1262" s="22"/>
    </row>
    <row r="1263" spans="2:11">
      <c r="B1263" s="22" t="s">
        <v>192</v>
      </c>
      <c r="C1263" s="28">
        <f>IF(B1263&lt;&gt;"",VLOOKUP(B1263,Projetos!E:F,2,0),"")</f>
        <v>32</v>
      </c>
      <c r="D1263" s="87"/>
      <c r="E1263" s="22" t="s">
        <v>193</v>
      </c>
      <c r="F1263" s="96" t="s">
        <v>676</v>
      </c>
      <c r="G1263" s="35" t="s">
        <v>64</v>
      </c>
      <c r="H1263" s="42">
        <v>45537</v>
      </c>
      <c r="I1263" s="59">
        <v>4.1666666666666664E-2</v>
      </c>
      <c r="J1263" s="66" t="s">
        <v>14</v>
      </c>
      <c r="K1263" s="22"/>
    </row>
    <row r="1264" spans="2:11" ht="30">
      <c r="B1264" s="22" t="s">
        <v>192</v>
      </c>
      <c r="C1264" s="28">
        <f>IF(B1264&lt;&gt;"",VLOOKUP(B1264,Projetos!E:F,2,0),"")</f>
        <v>32</v>
      </c>
      <c r="D1264" s="87"/>
      <c r="E1264" s="22" t="s">
        <v>193</v>
      </c>
      <c r="F1264" s="96" t="s">
        <v>677</v>
      </c>
      <c r="G1264" s="35" t="s">
        <v>34</v>
      </c>
      <c r="H1264" s="42">
        <v>45537</v>
      </c>
      <c r="I1264" s="59">
        <v>0.16666666666666666</v>
      </c>
      <c r="J1264" s="66" t="s">
        <v>14</v>
      </c>
      <c r="K1264" s="22"/>
    </row>
    <row r="1265" spans="2:11" ht="45">
      <c r="B1265" s="22" t="s">
        <v>140</v>
      </c>
      <c r="C1265" s="28">
        <f>IF(B1265&lt;&gt;"",VLOOKUP(B1265,Projetos!E:F,2,0),"")</f>
        <v>39</v>
      </c>
      <c r="D1265" s="87"/>
      <c r="E1265" s="22" t="s">
        <v>31</v>
      </c>
      <c r="F1265" s="96" t="s">
        <v>678</v>
      </c>
      <c r="G1265" s="35" t="s">
        <v>34</v>
      </c>
      <c r="H1265" s="42">
        <v>45538</v>
      </c>
      <c r="I1265" s="59">
        <v>0.125</v>
      </c>
      <c r="J1265" s="66" t="s">
        <v>14</v>
      </c>
      <c r="K1265" s="22"/>
    </row>
    <row r="1266" spans="2:11" ht="30">
      <c r="B1266" s="22" t="s">
        <v>192</v>
      </c>
      <c r="C1266" s="28">
        <f>IF(B1266&lt;&gt;"",VLOOKUP(B1266,Projetos!E:F,2,0),"")</f>
        <v>32</v>
      </c>
      <c r="D1266" s="87"/>
      <c r="E1266" s="22" t="s">
        <v>193</v>
      </c>
      <c r="F1266" s="96" t="s">
        <v>679</v>
      </c>
      <c r="G1266" s="35" t="s">
        <v>528</v>
      </c>
      <c r="H1266" s="42">
        <v>45537</v>
      </c>
      <c r="I1266" s="59">
        <v>0.125</v>
      </c>
      <c r="J1266" s="66" t="s">
        <v>14</v>
      </c>
      <c r="K1266" s="22"/>
    </row>
    <row r="1267" spans="2:11" ht="30">
      <c r="B1267" s="22" t="s">
        <v>138</v>
      </c>
      <c r="C1267" s="28">
        <f>IF(B1267&lt;&gt;"",VLOOKUP(B1267,Projetos!E:F,2,0),"")</f>
        <v>30</v>
      </c>
      <c r="D1267" s="87"/>
      <c r="E1267" s="22" t="s">
        <v>16</v>
      </c>
      <c r="F1267" s="96" t="s">
        <v>672</v>
      </c>
      <c r="G1267" s="35" t="s">
        <v>528</v>
      </c>
      <c r="H1267" s="42">
        <v>45537</v>
      </c>
      <c r="I1267" s="59">
        <v>8.3333333333333329E-2</v>
      </c>
      <c r="J1267" s="66" t="s">
        <v>14</v>
      </c>
      <c r="K1267" s="22"/>
    </row>
    <row r="1268" spans="2:11" ht="30">
      <c r="B1268" s="22" t="s">
        <v>138</v>
      </c>
      <c r="C1268" s="28">
        <f>IF(B1268&lt;&gt;"",VLOOKUP(B1268,Projetos!E:F,2,0),"")</f>
        <v>30</v>
      </c>
      <c r="D1268" s="87"/>
      <c r="E1268" s="22" t="s">
        <v>26</v>
      </c>
      <c r="F1268" s="96" t="s">
        <v>680</v>
      </c>
      <c r="G1268" s="35" t="s">
        <v>528</v>
      </c>
      <c r="H1268" s="42">
        <v>45538</v>
      </c>
      <c r="I1268" s="59">
        <v>0.20833333333333334</v>
      </c>
      <c r="J1268" s="66" t="s">
        <v>14</v>
      </c>
      <c r="K1268" s="22"/>
    </row>
    <row r="1269" spans="2:11">
      <c r="B1269" s="22" t="s">
        <v>643</v>
      </c>
      <c r="C1269" s="28">
        <f>IF(B1269&lt;&gt;"",VLOOKUP(B1269,Projetos!E:F,2,0),"")</f>
        <v>52</v>
      </c>
      <c r="D1269" s="87"/>
      <c r="E1269" s="22" t="s">
        <v>144</v>
      </c>
      <c r="F1269" s="96" t="s">
        <v>681</v>
      </c>
      <c r="G1269" s="35" t="s">
        <v>525</v>
      </c>
      <c r="H1269" s="42">
        <v>45538</v>
      </c>
      <c r="I1269" s="59">
        <v>0.25</v>
      </c>
      <c r="J1269" s="66" t="s">
        <v>14</v>
      </c>
      <c r="K1269" s="22"/>
    </row>
    <row r="1270" spans="2:11" ht="30">
      <c r="B1270" s="22" t="s">
        <v>231</v>
      </c>
      <c r="C1270" s="28">
        <f>IF(B1270&lt;&gt;"",VLOOKUP(B1270,Projetos!E:F,2,0),"")</f>
        <v>35</v>
      </c>
      <c r="D1270" s="87"/>
      <c r="E1270" s="22" t="s">
        <v>40</v>
      </c>
      <c r="F1270" s="96" t="s">
        <v>682</v>
      </c>
      <c r="G1270" s="35" t="s">
        <v>42</v>
      </c>
      <c r="H1270" s="42">
        <v>45538</v>
      </c>
      <c r="I1270" s="59">
        <v>0.33333333333333331</v>
      </c>
      <c r="J1270" s="66" t="s">
        <v>14</v>
      </c>
      <c r="K1270" s="22"/>
    </row>
    <row r="1271" spans="2:11">
      <c r="B1271" s="22" t="s">
        <v>128</v>
      </c>
      <c r="C1271" s="28">
        <f>IF(B1271&lt;&gt;"",VLOOKUP(B1271,Projetos!E:F,2,0),"")</f>
        <v>23</v>
      </c>
      <c r="D1271" s="87"/>
      <c r="E1271" s="22" t="s">
        <v>49</v>
      </c>
      <c r="F1271" s="96" t="s">
        <v>683</v>
      </c>
      <c r="G1271" s="35" t="s">
        <v>20</v>
      </c>
      <c r="H1271" s="42">
        <v>45538</v>
      </c>
      <c r="I1271" s="59">
        <v>0.16666666666666666</v>
      </c>
      <c r="J1271" s="66" t="s">
        <v>14</v>
      </c>
      <c r="K1271" s="22"/>
    </row>
    <row r="1272" spans="2:11">
      <c r="B1272" s="22" t="s">
        <v>192</v>
      </c>
      <c r="C1272" s="28">
        <f>IF(B1272&lt;&gt;"",VLOOKUP(B1272,Projetos!E:F,2,0),"")</f>
        <v>32</v>
      </c>
      <c r="D1272" s="87"/>
      <c r="E1272" s="22" t="s">
        <v>193</v>
      </c>
      <c r="F1272" s="96" t="s">
        <v>684</v>
      </c>
      <c r="G1272" s="35" t="s">
        <v>20</v>
      </c>
      <c r="H1272" s="42">
        <v>45538</v>
      </c>
      <c r="I1272" s="59">
        <v>0.16666666666666666</v>
      </c>
      <c r="J1272" s="66" t="s">
        <v>14</v>
      </c>
      <c r="K1272" s="22"/>
    </row>
    <row r="1273" spans="2:11">
      <c r="B1273" s="22" t="s">
        <v>685</v>
      </c>
      <c r="C1273" s="28">
        <f>IF(B1273&lt;&gt;"",VLOOKUP(B1273,Projetos!E:F,2,0),"")</f>
        <v>53</v>
      </c>
      <c r="D1273" s="87"/>
      <c r="E1273" s="22" t="s">
        <v>11</v>
      </c>
      <c r="F1273" s="96" t="s">
        <v>686</v>
      </c>
      <c r="G1273" s="35" t="s">
        <v>64</v>
      </c>
      <c r="H1273" s="42">
        <v>45537</v>
      </c>
      <c r="I1273" s="59">
        <v>0.10416666666666667</v>
      </c>
      <c r="J1273" s="66" t="s">
        <v>14</v>
      </c>
      <c r="K1273" s="22"/>
    </row>
    <row r="1274" spans="2:11">
      <c r="B1274" s="22" t="s">
        <v>146</v>
      </c>
      <c r="C1274" s="28">
        <f>IF(B1274&lt;&gt;"",VLOOKUP(B1274,Projetos!E:F,2,0),"")</f>
        <v>27</v>
      </c>
      <c r="D1274" s="87"/>
      <c r="E1274" s="22" t="s">
        <v>21</v>
      </c>
      <c r="F1274" s="96" t="s">
        <v>687</v>
      </c>
      <c r="G1274" s="35" t="s">
        <v>64</v>
      </c>
      <c r="H1274" s="42">
        <v>45538</v>
      </c>
      <c r="I1274" s="59">
        <v>8.3333333333333329E-2</v>
      </c>
      <c r="J1274" s="66" t="s">
        <v>14</v>
      </c>
      <c r="K1274" s="22"/>
    </row>
    <row r="1275" spans="2:11">
      <c r="B1275" s="22" t="s">
        <v>140</v>
      </c>
      <c r="C1275" s="28">
        <f>IF(B1275&lt;&gt;"",VLOOKUP(B1275,Projetos!E:F,2,0),"")</f>
        <v>39</v>
      </c>
      <c r="D1275" s="87"/>
      <c r="E1275" s="22" t="s">
        <v>16</v>
      </c>
      <c r="F1275" s="96" t="s">
        <v>688</v>
      </c>
      <c r="G1275" s="35" t="s">
        <v>64</v>
      </c>
      <c r="H1275" s="42">
        <v>45538</v>
      </c>
      <c r="I1275" s="59">
        <v>8.3333333333333329E-2</v>
      </c>
      <c r="J1275" s="66" t="s">
        <v>14</v>
      </c>
      <c r="K1275" s="22"/>
    </row>
    <row r="1276" spans="2:11">
      <c r="B1276" s="22" t="s">
        <v>685</v>
      </c>
      <c r="C1276" s="28">
        <f>IF(B1276&lt;&gt;"",VLOOKUP(B1276,Projetos!E:F,2,0),"")</f>
        <v>53</v>
      </c>
      <c r="D1276" s="87"/>
      <c r="E1276" s="22" t="s">
        <v>16</v>
      </c>
      <c r="F1276" s="96" t="s">
        <v>689</v>
      </c>
      <c r="G1276" s="35" t="s">
        <v>64</v>
      </c>
      <c r="H1276" s="42">
        <v>45538</v>
      </c>
      <c r="I1276" s="59">
        <v>8.3333333333333329E-2</v>
      </c>
      <c r="J1276" s="66" t="s">
        <v>14</v>
      </c>
      <c r="K1276" s="22"/>
    </row>
    <row r="1277" spans="2:11">
      <c r="B1277" s="22" t="s">
        <v>136</v>
      </c>
      <c r="C1277" s="28">
        <f>IF(B1277&lt;&gt;"",VLOOKUP(B1277,Projetos!E:F,2,0),"")</f>
        <v>25</v>
      </c>
      <c r="D1277" s="87"/>
      <c r="E1277" s="22" t="s">
        <v>16</v>
      </c>
      <c r="F1277" s="96" t="s">
        <v>690</v>
      </c>
      <c r="G1277" s="35" t="s">
        <v>64</v>
      </c>
      <c r="H1277" s="42">
        <v>45538</v>
      </c>
      <c r="I1277" s="59">
        <v>8.3333333333333329E-2</v>
      </c>
      <c r="J1277" s="66" t="s">
        <v>14</v>
      </c>
      <c r="K1277" s="22"/>
    </row>
    <row r="1278" spans="2:11" ht="30">
      <c r="B1278" s="22" t="s">
        <v>156</v>
      </c>
      <c r="C1278" s="28">
        <f>IF(B1278&lt;&gt;"",VLOOKUP(B1278,Projetos!E:F,2,0),"")</f>
        <v>3</v>
      </c>
      <c r="D1278" s="87"/>
      <c r="E1278" s="22" t="s">
        <v>691</v>
      </c>
      <c r="F1278" s="96" t="s">
        <v>692</v>
      </c>
      <c r="G1278" s="35" t="s">
        <v>66</v>
      </c>
      <c r="H1278" s="42">
        <v>45537</v>
      </c>
      <c r="I1278" s="59">
        <v>8.3333333333333329E-2</v>
      </c>
      <c r="J1278" s="66" t="s">
        <v>14</v>
      </c>
      <c r="K1278" s="22"/>
    </row>
    <row r="1279" spans="2:11">
      <c r="B1279" s="22" t="s">
        <v>685</v>
      </c>
      <c r="C1279" s="28">
        <f>IF(B1279&lt;&gt;"",VLOOKUP(B1279,Projetos!E:F,2,0),"")</f>
        <v>53</v>
      </c>
      <c r="D1279" s="87"/>
      <c r="E1279" s="22" t="s">
        <v>11</v>
      </c>
      <c r="F1279" s="96" t="s">
        <v>693</v>
      </c>
      <c r="G1279" s="35" t="s">
        <v>66</v>
      </c>
      <c r="H1279" s="42">
        <v>45537</v>
      </c>
      <c r="I1279" s="59">
        <v>8.3333333333333329E-2</v>
      </c>
      <c r="J1279" s="66" t="s">
        <v>14</v>
      </c>
      <c r="K1279" s="22"/>
    </row>
    <row r="1280" spans="2:11" ht="45">
      <c r="B1280" s="22" t="s">
        <v>140</v>
      </c>
      <c r="C1280" s="28">
        <f>IF(B1280&lt;&gt;"",VLOOKUP(B1280,Projetos!E:F,2,0),"")</f>
        <v>39</v>
      </c>
      <c r="D1280" s="87"/>
      <c r="E1280" s="22" t="s">
        <v>31</v>
      </c>
      <c r="F1280" s="96" t="s">
        <v>678</v>
      </c>
      <c r="G1280" s="35" t="s">
        <v>34</v>
      </c>
      <c r="H1280" s="42">
        <v>45539</v>
      </c>
      <c r="I1280" s="59">
        <v>0.16666666666666666</v>
      </c>
      <c r="J1280" s="66" t="s">
        <v>14</v>
      </c>
      <c r="K1280" s="22"/>
    </row>
    <row r="1281" spans="2:11">
      <c r="B1281" s="22" t="s">
        <v>140</v>
      </c>
      <c r="C1281" s="28">
        <f>IF(B1281&lt;&gt;"",VLOOKUP(B1281,Projetos!E:F,2,0),"")</f>
        <v>39</v>
      </c>
      <c r="D1281" s="87"/>
      <c r="E1281" s="22" t="s">
        <v>16</v>
      </c>
      <c r="F1281" s="96" t="s">
        <v>694</v>
      </c>
      <c r="G1281" s="35" t="s">
        <v>528</v>
      </c>
      <c r="H1281" s="42">
        <v>45539</v>
      </c>
      <c r="I1281" s="59">
        <v>4.1666666666666664E-2</v>
      </c>
      <c r="J1281" s="66" t="s">
        <v>14</v>
      </c>
      <c r="K1281" s="22"/>
    </row>
    <row r="1282" spans="2:11">
      <c r="B1282" s="22" t="s">
        <v>140</v>
      </c>
      <c r="C1282" s="28">
        <f>IF(B1282&lt;&gt;"",VLOOKUP(B1282,Projetos!E:F,2,0),"")</f>
        <v>39</v>
      </c>
      <c r="D1282" s="87"/>
      <c r="E1282" s="22" t="s">
        <v>40</v>
      </c>
      <c r="F1282" s="96" t="s">
        <v>695</v>
      </c>
      <c r="G1282" s="35" t="s">
        <v>528</v>
      </c>
      <c r="H1282" s="42">
        <v>45539</v>
      </c>
      <c r="I1282" s="59">
        <v>0.16666666666666666</v>
      </c>
      <c r="J1282" s="66" t="s">
        <v>14</v>
      </c>
      <c r="K1282" s="22"/>
    </row>
    <row r="1283" spans="2:11">
      <c r="B1283" s="22" t="s">
        <v>140</v>
      </c>
      <c r="C1283" s="28">
        <f>IF(B1283&lt;&gt;"",VLOOKUP(B1283,Projetos!E:F,2,0),"")</f>
        <v>39</v>
      </c>
      <c r="D1283" s="87"/>
      <c r="E1283" s="22" t="s">
        <v>26</v>
      </c>
      <c r="F1283" s="96" t="s">
        <v>696</v>
      </c>
      <c r="G1283" s="35" t="s">
        <v>42</v>
      </c>
      <c r="H1283" s="42">
        <v>45539</v>
      </c>
      <c r="I1283" s="59">
        <v>8.3333333333333329E-2</v>
      </c>
      <c r="J1283" s="66" t="s">
        <v>14</v>
      </c>
      <c r="K1283" s="22"/>
    </row>
    <row r="1284" spans="2:11" ht="30">
      <c r="B1284" s="22" t="s">
        <v>140</v>
      </c>
      <c r="C1284" s="28">
        <f>IF(B1284&lt;&gt;"",VLOOKUP(B1284,Projetos!E:F,2,0),"")</f>
        <v>39</v>
      </c>
      <c r="D1284" s="87"/>
      <c r="E1284" s="22" t="s">
        <v>31</v>
      </c>
      <c r="F1284" s="96" t="s">
        <v>697</v>
      </c>
      <c r="G1284" s="35" t="s">
        <v>34</v>
      </c>
      <c r="H1284" s="42">
        <v>45540</v>
      </c>
      <c r="I1284" s="59">
        <v>8.3333333333333329E-2</v>
      </c>
      <c r="J1284" s="66" t="s">
        <v>14</v>
      </c>
      <c r="K1284" s="22"/>
    </row>
    <row r="1285" spans="2:11">
      <c r="B1285" s="22" t="s">
        <v>685</v>
      </c>
      <c r="C1285" s="28">
        <f>IF(B1285&lt;&gt;"",VLOOKUP(B1285,Projetos!E:F,2,0),"")</f>
        <v>53</v>
      </c>
      <c r="D1285" s="87"/>
      <c r="E1285" s="22" t="s">
        <v>158</v>
      </c>
      <c r="F1285" s="96" t="s">
        <v>698</v>
      </c>
      <c r="G1285" s="35" t="s">
        <v>66</v>
      </c>
      <c r="H1285" s="42">
        <v>45538</v>
      </c>
      <c r="I1285" s="59">
        <v>0.25</v>
      </c>
      <c r="J1285" s="66" t="s">
        <v>14</v>
      </c>
      <c r="K1285" s="22"/>
    </row>
    <row r="1286" spans="2:11">
      <c r="B1286" s="22" t="s">
        <v>685</v>
      </c>
      <c r="C1286" s="28">
        <f>IF(B1286&lt;&gt;"",VLOOKUP(B1286,Projetos!E:F,2,0),"")</f>
        <v>53</v>
      </c>
      <c r="D1286" s="87"/>
      <c r="E1286" s="22" t="s">
        <v>23</v>
      </c>
      <c r="F1286" s="96" t="s">
        <v>699</v>
      </c>
      <c r="G1286" s="35" t="s">
        <v>66</v>
      </c>
      <c r="H1286" s="42">
        <v>45539</v>
      </c>
      <c r="I1286" s="59">
        <v>0.22916666666666666</v>
      </c>
      <c r="J1286" s="66" t="s">
        <v>14</v>
      </c>
      <c r="K1286" s="22"/>
    </row>
    <row r="1287" spans="2:11">
      <c r="B1287" s="22" t="s">
        <v>685</v>
      </c>
      <c r="C1287" s="28">
        <f>IF(B1287&lt;&gt;"",VLOOKUP(B1287,Projetos!E:F,2,0),"")</f>
        <v>53</v>
      </c>
      <c r="D1287" s="87"/>
      <c r="E1287" s="22" t="s">
        <v>16</v>
      </c>
      <c r="F1287" s="96" t="s">
        <v>700</v>
      </c>
      <c r="G1287" s="35" t="s">
        <v>64</v>
      </c>
      <c r="H1287" s="42">
        <v>45539</v>
      </c>
      <c r="I1287" s="59">
        <v>2.0833333333333332E-2</v>
      </c>
      <c r="J1287" s="66" t="s">
        <v>14</v>
      </c>
      <c r="K1287" s="22"/>
    </row>
    <row r="1288" spans="2:11">
      <c r="B1288" s="22" t="s">
        <v>192</v>
      </c>
      <c r="C1288" s="28">
        <f>IF(B1288&lt;&gt;"",VLOOKUP(B1288,Projetos!E:F,2,0),"")</f>
        <v>32</v>
      </c>
      <c r="D1288" s="87"/>
      <c r="E1288" s="22" t="s">
        <v>193</v>
      </c>
      <c r="F1288" s="96" t="s">
        <v>684</v>
      </c>
      <c r="G1288" s="35" t="s">
        <v>20</v>
      </c>
      <c r="H1288" s="42">
        <v>45539</v>
      </c>
      <c r="I1288" s="59">
        <v>0.16666666666666666</v>
      </c>
      <c r="J1288" s="66" t="s">
        <v>14</v>
      </c>
      <c r="K1288" s="22"/>
    </row>
    <row r="1289" spans="2:11">
      <c r="B1289" s="22" t="s">
        <v>128</v>
      </c>
      <c r="C1289" s="28">
        <f>IF(B1289&lt;&gt;"",VLOOKUP(B1289,Projetos!E:F,2,0),"")</f>
        <v>23</v>
      </c>
      <c r="D1289" s="87"/>
      <c r="E1289" s="22" t="s">
        <v>49</v>
      </c>
      <c r="F1289" s="96" t="s">
        <v>701</v>
      </c>
      <c r="G1289" s="35" t="s">
        <v>20</v>
      </c>
      <c r="H1289" s="42">
        <v>45539</v>
      </c>
      <c r="I1289" s="59">
        <v>0.14583333333333334</v>
      </c>
      <c r="J1289" s="66" t="s">
        <v>14</v>
      </c>
      <c r="K1289" s="22"/>
    </row>
    <row r="1290" spans="2:11">
      <c r="B1290" s="22" t="s">
        <v>140</v>
      </c>
      <c r="C1290" s="28">
        <f>IF(B1290&lt;&gt;"",VLOOKUP(B1290,Projetos!E:F,2,0),"")</f>
        <v>39</v>
      </c>
      <c r="D1290" s="87"/>
      <c r="E1290" s="22" t="s">
        <v>26</v>
      </c>
      <c r="F1290" s="96" t="s">
        <v>702</v>
      </c>
      <c r="G1290" s="35" t="s">
        <v>64</v>
      </c>
      <c r="H1290" s="42">
        <v>45539</v>
      </c>
      <c r="I1290" s="59">
        <v>4.1666666666666664E-2</v>
      </c>
      <c r="J1290" s="66" t="s">
        <v>14</v>
      </c>
      <c r="K1290" s="22"/>
    </row>
    <row r="1291" spans="2:11">
      <c r="B1291" s="22" t="s">
        <v>140</v>
      </c>
      <c r="C1291" s="28">
        <f>IF(B1291&lt;&gt;"",VLOOKUP(B1291,Projetos!E:F,2,0),"")</f>
        <v>39</v>
      </c>
      <c r="D1291" s="87"/>
      <c r="E1291" s="22" t="s">
        <v>144</v>
      </c>
      <c r="F1291" s="96" t="s">
        <v>703</v>
      </c>
      <c r="G1291" s="35" t="s">
        <v>64</v>
      </c>
      <c r="H1291" s="42">
        <v>45539</v>
      </c>
      <c r="I1291" s="59">
        <v>2.0833333333333332E-2</v>
      </c>
      <c r="J1291" s="66" t="s">
        <v>14</v>
      </c>
      <c r="K1291" s="22"/>
    </row>
    <row r="1292" spans="2:11">
      <c r="B1292" s="22" t="s">
        <v>685</v>
      </c>
      <c r="C1292" s="28">
        <f>IF(B1292&lt;&gt;"",VLOOKUP(B1292,Projetos!E:F,2,0),"")</f>
        <v>53</v>
      </c>
      <c r="D1292" s="87"/>
      <c r="E1292" s="22" t="s">
        <v>23</v>
      </c>
      <c r="F1292" s="96" t="s">
        <v>704</v>
      </c>
      <c r="G1292" s="35" t="s">
        <v>64</v>
      </c>
      <c r="H1292" s="42">
        <v>45539</v>
      </c>
      <c r="I1292" s="59">
        <v>4.1666666666666664E-2</v>
      </c>
      <c r="J1292" s="66" t="s">
        <v>14</v>
      </c>
      <c r="K1292" s="22"/>
    </row>
    <row r="1293" spans="2:11">
      <c r="B1293" s="22" t="s">
        <v>136</v>
      </c>
      <c r="C1293" s="28">
        <f>IF(B1293&lt;&gt;"",VLOOKUP(B1293,Projetos!E:F,2,0),"")</f>
        <v>25</v>
      </c>
      <c r="D1293" s="87"/>
      <c r="E1293" s="22" t="s">
        <v>40</v>
      </c>
      <c r="F1293" s="96" t="s">
        <v>705</v>
      </c>
      <c r="G1293" s="35" t="s">
        <v>64</v>
      </c>
      <c r="H1293" s="42">
        <v>45539</v>
      </c>
      <c r="I1293" s="59">
        <v>8.3333333333333329E-2</v>
      </c>
      <c r="J1293" s="66" t="s">
        <v>14</v>
      </c>
      <c r="K1293" s="22"/>
    </row>
    <row r="1294" spans="2:11">
      <c r="B1294" s="22" t="s">
        <v>146</v>
      </c>
      <c r="C1294" s="28">
        <f>IF(B1294&lt;&gt;"",VLOOKUP(B1294,Projetos!E:F,2,0),"")</f>
        <v>27</v>
      </c>
      <c r="D1294" s="87"/>
      <c r="E1294" s="22" t="s">
        <v>21</v>
      </c>
      <c r="F1294" s="96" t="s">
        <v>706</v>
      </c>
      <c r="G1294" s="35" t="s">
        <v>64</v>
      </c>
      <c r="H1294" s="42">
        <v>45539</v>
      </c>
      <c r="I1294" s="59">
        <v>0.125</v>
      </c>
      <c r="J1294" s="66" t="s">
        <v>14</v>
      </c>
      <c r="K1294" s="22"/>
    </row>
    <row r="1295" spans="2:11">
      <c r="B1295" s="22" t="s">
        <v>192</v>
      </c>
      <c r="C1295" s="28">
        <f>IF(B1295&lt;&gt;"",VLOOKUP(B1295,Projetos!E:F,2,0),"")</f>
        <v>32</v>
      </c>
      <c r="D1295" s="116"/>
      <c r="E1295" s="22" t="s">
        <v>193</v>
      </c>
      <c r="F1295" s="96" t="s">
        <v>684</v>
      </c>
      <c r="G1295" s="35" t="s">
        <v>20</v>
      </c>
      <c r="H1295" s="42">
        <v>45540</v>
      </c>
      <c r="I1295" s="59">
        <v>0.16666666666666666</v>
      </c>
      <c r="J1295" s="66" t="s">
        <v>14</v>
      </c>
      <c r="K1295" s="26"/>
    </row>
    <row r="1296" spans="2:11">
      <c r="B1296" s="22" t="s">
        <v>138</v>
      </c>
      <c r="C1296" s="28">
        <f>IF(B1296&lt;&gt;"",VLOOKUP(B1296,Projetos!E:F,2,0),"")</f>
        <v>30</v>
      </c>
      <c r="D1296" s="116"/>
      <c r="E1296" s="26" t="s">
        <v>16</v>
      </c>
      <c r="F1296" s="109" t="s">
        <v>707</v>
      </c>
      <c r="G1296" s="35" t="s">
        <v>20</v>
      </c>
      <c r="H1296" s="42">
        <v>45540</v>
      </c>
      <c r="I1296" s="118">
        <v>8.3333333333333329E-2</v>
      </c>
      <c r="J1296" s="66" t="s">
        <v>14</v>
      </c>
      <c r="K1296" s="26"/>
    </row>
    <row r="1297" spans="2:11">
      <c r="B1297" s="22" t="s">
        <v>146</v>
      </c>
      <c r="C1297" s="28">
        <f>IF(B1297&lt;&gt;"",VLOOKUP(B1297,Projetos!E:F,2,0),"")</f>
        <v>27</v>
      </c>
      <c r="D1297" s="116"/>
      <c r="E1297" s="26" t="s">
        <v>21</v>
      </c>
      <c r="F1297" s="109" t="s">
        <v>706</v>
      </c>
      <c r="G1297" s="35" t="s">
        <v>64</v>
      </c>
      <c r="H1297" s="42">
        <v>45540</v>
      </c>
      <c r="I1297" s="118">
        <v>0.1111111111111111</v>
      </c>
      <c r="J1297" s="66" t="s">
        <v>14</v>
      </c>
      <c r="K1297" s="26"/>
    </row>
    <row r="1298" spans="2:11">
      <c r="B1298" s="22" t="s">
        <v>146</v>
      </c>
      <c r="C1298" s="28">
        <f>IF(B1298&lt;&gt;"",VLOOKUP(B1298,Projetos!E:F,2,0),"")</f>
        <v>27</v>
      </c>
      <c r="D1298" s="22"/>
      <c r="E1298" s="22" t="s">
        <v>16</v>
      </c>
      <c r="F1298" s="71" t="s">
        <v>708</v>
      </c>
      <c r="G1298" s="41" t="s">
        <v>64</v>
      </c>
      <c r="H1298" s="61">
        <v>45540</v>
      </c>
      <c r="I1298" s="59">
        <v>1.7361111111111112E-2</v>
      </c>
      <c r="J1298" s="117" t="s">
        <v>14</v>
      </c>
      <c r="K1298" s="22"/>
    </row>
    <row r="1299" spans="2:11">
      <c r="B1299" s="22" t="s">
        <v>146</v>
      </c>
      <c r="C1299" s="28">
        <f>IF(B1299&lt;&gt;"",VLOOKUP(B1299,Projetos!E:F,2,0),"")</f>
        <v>27</v>
      </c>
      <c r="D1299" s="22"/>
      <c r="E1299" s="22" t="s">
        <v>21</v>
      </c>
      <c r="F1299" s="71" t="s">
        <v>709</v>
      </c>
      <c r="G1299" s="41" t="s">
        <v>66</v>
      </c>
      <c r="H1299" s="61">
        <v>45539</v>
      </c>
      <c r="I1299" s="59">
        <v>2.0833333333333332E-2</v>
      </c>
      <c r="J1299" s="117" t="s">
        <v>14</v>
      </c>
      <c r="K1299" s="22"/>
    </row>
    <row r="1300" spans="2:11">
      <c r="B1300" s="22" t="s">
        <v>138</v>
      </c>
      <c r="C1300" s="28">
        <f>IF(B1300&lt;&gt;"",VLOOKUP(B1300,Projetos!E:F,2,0),"")</f>
        <v>30</v>
      </c>
      <c r="D1300" s="22"/>
      <c r="E1300" s="22" t="s">
        <v>26</v>
      </c>
      <c r="F1300" s="71" t="s">
        <v>710</v>
      </c>
      <c r="G1300" s="41" t="s">
        <v>34</v>
      </c>
      <c r="H1300" s="61">
        <v>45540</v>
      </c>
      <c r="I1300" s="59">
        <v>8.3333333333333329E-2</v>
      </c>
      <c r="J1300" s="117" t="s">
        <v>14</v>
      </c>
      <c r="K1300" s="22"/>
    </row>
    <row r="1301" spans="2:11">
      <c r="B1301" s="22" t="s">
        <v>140</v>
      </c>
      <c r="C1301" s="28">
        <f>IF(B1301&lt;&gt;"",VLOOKUP(B1301,Projetos!E:F,2,0),"")</f>
        <v>39</v>
      </c>
      <c r="D1301" s="22"/>
      <c r="E1301" s="22" t="s">
        <v>40</v>
      </c>
      <c r="F1301" s="96" t="s">
        <v>695</v>
      </c>
      <c r="G1301" s="41" t="s">
        <v>525</v>
      </c>
      <c r="H1301" s="42">
        <v>45539</v>
      </c>
      <c r="I1301" s="59">
        <v>0.16666666666666666</v>
      </c>
      <c r="J1301" s="117" t="s">
        <v>14</v>
      </c>
      <c r="K1301" s="22"/>
    </row>
    <row r="1302" spans="2:11">
      <c r="B1302" s="22" t="s">
        <v>140</v>
      </c>
      <c r="C1302" s="28">
        <f>IF(B1302&lt;&gt;"",VLOOKUP(B1302,Projetos!E:F,2,0),"")</f>
        <v>39</v>
      </c>
      <c r="D1302" s="22"/>
      <c r="E1302" s="22" t="s">
        <v>16</v>
      </c>
      <c r="F1302" s="96" t="s">
        <v>694</v>
      </c>
      <c r="G1302" s="41" t="s">
        <v>525</v>
      </c>
      <c r="H1302" s="42">
        <v>45539</v>
      </c>
      <c r="I1302" s="59">
        <v>8.3333333333333329E-2</v>
      </c>
      <c r="J1302" s="117" t="s">
        <v>14</v>
      </c>
      <c r="K1302" s="22"/>
    </row>
    <row r="1303" spans="2:11">
      <c r="B1303" s="22" t="s">
        <v>140</v>
      </c>
      <c r="C1303" s="28">
        <f>IF(B1303&lt;&gt;"",VLOOKUP(B1303,Projetos!E:F,2,0),"")</f>
        <v>39</v>
      </c>
      <c r="D1303" s="22"/>
      <c r="E1303" s="22" t="s">
        <v>40</v>
      </c>
      <c r="F1303" s="96" t="s">
        <v>695</v>
      </c>
      <c r="G1303" s="41" t="s">
        <v>525</v>
      </c>
      <c r="H1303" s="61">
        <v>45540</v>
      </c>
      <c r="I1303" s="59">
        <v>4.1666666666666664E-2</v>
      </c>
      <c r="J1303" s="117" t="s">
        <v>14</v>
      </c>
      <c r="K1303" s="22"/>
    </row>
    <row r="1304" spans="2:11">
      <c r="B1304" s="22" t="s">
        <v>140</v>
      </c>
      <c r="C1304" s="28">
        <f>IF(B1304&lt;&gt;"",VLOOKUP(B1304,Projetos!E:F,2,0),"")</f>
        <v>39</v>
      </c>
      <c r="D1304" s="22"/>
      <c r="E1304" s="22" t="s">
        <v>144</v>
      </c>
      <c r="F1304" s="71" t="s">
        <v>711</v>
      </c>
      <c r="G1304" s="41" t="s">
        <v>525</v>
      </c>
      <c r="H1304" s="61">
        <v>45540</v>
      </c>
      <c r="I1304" s="59">
        <v>0.20833333333333334</v>
      </c>
      <c r="J1304" s="117" t="s">
        <v>14</v>
      </c>
      <c r="K1304" s="22"/>
    </row>
    <row r="1305" spans="2:11" ht="30">
      <c r="B1305" s="22" t="s">
        <v>136</v>
      </c>
      <c r="C1305" s="28">
        <f>IF(B1305&lt;&gt;"",VLOOKUP(B1305,Projetos!E:F,2,0),"")</f>
        <v>25</v>
      </c>
      <c r="D1305" s="22"/>
      <c r="E1305" s="22" t="s">
        <v>49</v>
      </c>
      <c r="F1305" s="71" t="s">
        <v>712</v>
      </c>
      <c r="G1305" s="41" t="s">
        <v>64</v>
      </c>
      <c r="H1305" s="61">
        <v>45540</v>
      </c>
      <c r="I1305" s="59">
        <v>2.0833333333333332E-2</v>
      </c>
      <c r="J1305" s="117" t="s">
        <v>14</v>
      </c>
      <c r="K1305" s="22"/>
    </row>
    <row r="1306" spans="2:11" ht="15.75" customHeight="1">
      <c r="B1306" s="22" t="s">
        <v>685</v>
      </c>
      <c r="C1306" s="28">
        <f>IF(B1306&lt;&gt;"",VLOOKUP(B1306,Projetos!E:F,2,0),"")</f>
        <v>53</v>
      </c>
      <c r="D1306" s="22"/>
      <c r="E1306" s="22" t="s">
        <v>23</v>
      </c>
      <c r="F1306" s="71" t="s">
        <v>713</v>
      </c>
      <c r="G1306" s="41" t="s">
        <v>64</v>
      </c>
      <c r="H1306" s="61">
        <v>45540</v>
      </c>
      <c r="I1306" s="59">
        <v>0.18402777777777779</v>
      </c>
      <c r="J1306" s="117" t="s">
        <v>14</v>
      </c>
      <c r="K1306" s="22"/>
    </row>
    <row r="1307" spans="2:11">
      <c r="B1307" s="22" t="s">
        <v>685</v>
      </c>
      <c r="C1307" s="28">
        <f>IF(B1307&lt;&gt;"",VLOOKUP(B1307,Projetos!E:F,2,0),"")</f>
        <v>53</v>
      </c>
      <c r="D1307" s="22"/>
      <c r="E1307" s="22" t="s">
        <v>23</v>
      </c>
      <c r="F1307" s="71" t="s">
        <v>714</v>
      </c>
      <c r="G1307" s="41" t="s">
        <v>64</v>
      </c>
      <c r="H1307" s="61">
        <v>45541</v>
      </c>
      <c r="I1307" s="59">
        <v>4.1666666666666664E-2</v>
      </c>
      <c r="J1307" s="117" t="s">
        <v>14</v>
      </c>
      <c r="K1307" s="22"/>
    </row>
    <row r="1308" spans="2:11">
      <c r="B1308" s="22" t="s">
        <v>685</v>
      </c>
      <c r="C1308" s="28">
        <f>IF(B1308&lt;&gt;"",VLOOKUP(B1308,Projetos!E:F,2,0),"")</f>
        <v>53</v>
      </c>
      <c r="D1308" s="22"/>
      <c r="E1308" s="22" t="s">
        <v>23</v>
      </c>
      <c r="F1308" s="71" t="s">
        <v>715</v>
      </c>
      <c r="G1308" s="41" t="s">
        <v>66</v>
      </c>
      <c r="H1308" s="61">
        <v>45540</v>
      </c>
      <c r="I1308" s="59">
        <v>0.25</v>
      </c>
      <c r="J1308" s="117" t="s">
        <v>14</v>
      </c>
      <c r="K1308" s="22"/>
    </row>
    <row r="1309" spans="2:11">
      <c r="B1309" s="22" t="s">
        <v>136</v>
      </c>
      <c r="C1309" s="28">
        <f>IF(B1309&lt;&gt;"",VLOOKUP(B1309,Projetos!E:F,2,0),"")</f>
        <v>25</v>
      </c>
      <c r="D1309" s="22"/>
      <c r="E1309" s="22" t="s">
        <v>40</v>
      </c>
      <c r="F1309" s="71" t="s">
        <v>716</v>
      </c>
      <c r="G1309" s="41" t="s">
        <v>64</v>
      </c>
      <c r="H1309" s="61">
        <v>45541</v>
      </c>
      <c r="I1309" s="59">
        <v>0.29166666666666669</v>
      </c>
      <c r="J1309" s="117" t="s">
        <v>14</v>
      </c>
      <c r="K1309" s="22"/>
    </row>
    <row r="1310" spans="2:11">
      <c r="B1310" s="22" t="s">
        <v>192</v>
      </c>
      <c r="C1310" s="28">
        <f>IF(B1310&lt;&gt;"",VLOOKUP(B1310,Projetos!E:F,2,0),"")</f>
        <v>32</v>
      </c>
      <c r="D1310" s="116"/>
      <c r="E1310" s="22" t="s">
        <v>193</v>
      </c>
      <c r="F1310" s="96" t="s">
        <v>684</v>
      </c>
      <c r="G1310" s="35" t="s">
        <v>20</v>
      </c>
      <c r="H1310" s="42">
        <v>45541</v>
      </c>
      <c r="I1310" s="118">
        <v>0.10416666666666667</v>
      </c>
      <c r="J1310" s="66" t="s">
        <v>14</v>
      </c>
      <c r="K1310" s="22"/>
    </row>
    <row r="1311" spans="2:11">
      <c r="B1311" s="22" t="s">
        <v>61</v>
      </c>
      <c r="C1311" s="28">
        <f>IF(B1311&lt;&gt;"",VLOOKUP(B1311,Projetos!E:F,2,0),"")</f>
        <v>11</v>
      </c>
      <c r="D1311" s="22"/>
      <c r="E1311" s="22" t="s">
        <v>65</v>
      </c>
      <c r="F1311" s="71" t="s">
        <v>717</v>
      </c>
      <c r="G1311" s="41" t="s">
        <v>20</v>
      </c>
      <c r="H1311" s="61">
        <v>45541</v>
      </c>
      <c r="I1311" s="118">
        <v>0.16666666666666666</v>
      </c>
      <c r="J1311" s="117" t="s">
        <v>14</v>
      </c>
      <c r="K1311" s="22"/>
    </row>
    <row r="1312" spans="2:11">
      <c r="B1312" s="22" t="s">
        <v>156</v>
      </c>
      <c r="C1312" s="28">
        <f>IF(B1312&lt;&gt;"",VLOOKUP(B1312,Projetos!E:F,2,0),"")</f>
        <v>3</v>
      </c>
      <c r="D1312" s="22"/>
      <c r="E1312" s="22" t="s">
        <v>16</v>
      </c>
      <c r="F1312" s="71" t="s">
        <v>718</v>
      </c>
      <c r="G1312" s="41" t="s">
        <v>66</v>
      </c>
      <c r="H1312" s="61">
        <v>45541</v>
      </c>
      <c r="I1312" s="59">
        <v>0.10416666666666667</v>
      </c>
      <c r="J1312" s="117" t="s">
        <v>14</v>
      </c>
      <c r="K1312" s="22"/>
    </row>
    <row r="1313" spans="2:11">
      <c r="B1313" s="22" t="s">
        <v>136</v>
      </c>
      <c r="C1313" s="28">
        <f>IF(B1313&lt;&gt;"",VLOOKUP(B1313,Projetos!E:F,2,0),"")</f>
        <v>25</v>
      </c>
      <c r="D1313" s="22"/>
      <c r="E1313" s="22" t="s">
        <v>40</v>
      </c>
      <c r="F1313" s="71" t="s">
        <v>719</v>
      </c>
      <c r="G1313" s="41" t="s">
        <v>66</v>
      </c>
      <c r="H1313" s="61">
        <v>45541</v>
      </c>
      <c r="I1313" s="119">
        <v>0.14583333333333334</v>
      </c>
      <c r="J1313" s="117" t="s">
        <v>14</v>
      </c>
      <c r="K1313" s="22"/>
    </row>
    <row r="1314" spans="2:11">
      <c r="B1314" s="22" t="s">
        <v>140</v>
      </c>
      <c r="C1314" s="28">
        <f>IF(B1314&lt;&gt;"",VLOOKUP(B1314,Projetos!E:F,2,0),"")</f>
        <v>39</v>
      </c>
      <c r="D1314" s="22"/>
      <c r="E1314" s="22" t="s">
        <v>144</v>
      </c>
      <c r="F1314" s="71" t="s">
        <v>711</v>
      </c>
      <c r="G1314" s="41" t="s">
        <v>525</v>
      </c>
      <c r="H1314" s="61">
        <v>45541</v>
      </c>
      <c r="I1314" s="59">
        <v>0.25</v>
      </c>
      <c r="J1314" s="117" t="s">
        <v>14</v>
      </c>
      <c r="K1314" s="22"/>
    </row>
    <row r="1315" spans="2:11">
      <c r="B1315" s="22" t="s">
        <v>122</v>
      </c>
      <c r="C1315" s="28">
        <f>IF(B1315&lt;&gt;"",VLOOKUP(B1315,Projetos!E:F,2,0),"")</f>
        <v>24</v>
      </c>
      <c r="D1315" s="22"/>
      <c r="E1315" s="22" t="s">
        <v>26</v>
      </c>
      <c r="F1315" s="71" t="s">
        <v>720</v>
      </c>
      <c r="G1315" s="41" t="s">
        <v>34</v>
      </c>
      <c r="H1315" s="61">
        <v>45541</v>
      </c>
      <c r="I1315" s="59">
        <v>0.25</v>
      </c>
      <c r="J1315" s="117" t="s">
        <v>14</v>
      </c>
      <c r="K1315" s="22"/>
    </row>
    <row r="1316" spans="2:11">
      <c r="B1316" s="22" t="s">
        <v>10</v>
      </c>
      <c r="C1316" s="28">
        <f>IF(B1316&lt;&gt;"",VLOOKUP(B1316,Projetos!E:F,2,0),"")</f>
        <v>2</v>
      </c>
      <c r="D1316" s="22"/>
      <c r="E1316" s="22" t="s">
        <v>21</v>
      </c>
      <c r="F1316" s="71" t="s">
        <v>721</v>
      </c>
      <c r="G1316" s="41" t="s">
        <v>19</v>
      </c>
      <c r="H1316" s="61">
        <v>45530</v>
      </c>
      <c r="I1316" s="59">
        <v>0.16666666666666666</v>
      </c>
      <c r="J1316" s="117" t="s">
        <v>14</v>
      </c>
      <c r="K1316" s="22"/>
    </row>
    <row r="1317" spans="2:11">
      <c r="B1317" s="22" t="s">
        <v>61</v>
      </c>
      <c r="C1317" s="28">
        <f>IF(B1317&lt;&gt;"",VLOOKUP(B1317,Projetos!E:F,2,0),"")</f>
        <v>11</v>
      </c>
      <c r="D1317" s="22"/>
      <c r="E1317" s="22" t="s">
        <v>21</v>
      </c>
      <c r="F1317" s="71" t="s">
        <v>722</v>
      </c>
      <c r="G1317" s="41" t="s">
        <v>19</v>
      </c>
      <c r="H1317" s="61">
        <v>45537</v>
      </c>
      <c r="I1317" s="59">
        <v>0.16666666666666666</v>
      </c>
      <c r="J1317" s="117" t="s">
        <v>14</v>
      </c>
      <c r="K1317" s="22"/>
    </row>
    <row r="1318" spans="2:11">
      <c r="B1318" s="22" t="s">
        <v>643</v>
      </c>
      <c r="C1318" s="28">
        <f>IF(B1318&lt;&gt;"",VLOOKUP(B1318,Projetos!E:F,2,0),"")</f>
        <v>52</v>
      </c>
      <c r="D1318" s="22"/>
      <c r="E1318" s="22" t="s">
        <v>16</v>
      </c>
      <c r="F1318" s="71" t="s">
        <v>723</v>
      </c>
      <c r="G1318" s="41" t="s">
        <v>19</v>
      </c>
      <c r="H1318" s="61">
        <v>45527</v>
      </c>
      <c r="I1318" s="59">
        <v>0.16666666666666666</v>
      </c>
      <c r="J1318" s="117" t="s">
        <v>14</v>
      </c>
      <c r="K1318" s="22"/>
    </row>
    <row r="1319" spans="2:11" ht="30">
      <c r="B1319" s="22" t="s">
        <v>294</v>
      </c>
      <c r="C1319" s="28">
        <f>IF(B1319&lt;&gt;"",VLOOKUP(B1319,Projetos!E:F,2,0),"")</f>
        <v>26</v>
      </c>
      <c r="D1319" s="22"/>
      <c r="E1319" s="22" t="s">
        <v>16</v>
      </c>
      <c r="F1319" s="71" t="s">
        <v>724</v>
      </c>
      <c r="G1319" s="41" t="s">
        <v>19</v>
      </c>
      <c r="H1319" s="61">
        <v>45539</v>
      </c>
      <c r="I1319" s="59">
        <v>0.16666666666666666</v>
      </c>
      <c r="J1319" s="117" t="s">
        <v>14</v>
      </c>
      <c r="K1319" s="22"/>
    </row>
    <row r="1320" spans="2:11" ht="30">
      <c r="B1320" s="22" t="s">
        <v>294</v>
      </c>
      <c r="C1320" s="28">
        <f>IF(B1320&lt;&gt;"",VLOOKUP(B1320,Projetos!E:F,2,0),"")</f>
        <v>26</v>
      </c>
      <c r="D1320" s="22"/>
      <c r="E1320" s="22" t="s">
        <v>31</v>
      </c>
      <c r="F1320" s="71" t="s">
        <v>725</v>
      </c>
      <c r="G1320" s="41" t="s">
        <v>19</v>
      </c>
      <c r="H1320" s="61">
        <v>45537</v>
      </c>
      <c r="I1320" s="59">
        <v>0.16666666666666666</v>
      </c>
      <c r="J1320" s="117" t="s">
        <v>14</v>
      </c>
      <c r="K1320" s="22"/>
    </row>
    <row r="1321" spans="2:11">
      <c r="B1321" s="22" t="s">
        <v>294</v>
      </c>
      <c r="C1321" s="28">
        <f>IF(B1321&lt;&gt;"",VLOOKUP(B1321,Projetos!E:F,2,0),"")</f>
        <v>26</v>
      </c>
      <c r="D1321" s="22"/>
      <c r="E1321" s="22" t="s">
        <v>31</v>
      </c>
      <c r="F1321" s="71" t="s">
        <v>285</v>
      </c>
      <c r="G1321" s="41" t="s">
        <v>19</v>
      </c>
      <c r="H1321" s="61">
        <v>45538</v>
      </c>
      <c r="I1321" s="59">
        <v>0.29166666666666669</v>
      </c>
      <c r="J1321" s="117" t="s">
        <v>14</v>
      </c>
      <c r="K1321" s="22"/>
    </row>
    <row r="1322" spans="2:11">
      <c r="B1322" s="22" t="s">
        <v>294</v>
      </c>
      <c r="C1322" s="28">
        <f>IF(B1322&lt;&gt;"",VLOOKUP(B1322,Projetos!E:F,2,0),"")</f>
        <v>26</v>
      </c>
      <c r="D1322" s="22"/>
      <c r="E1322" s="22" t="s">
        <v>31</v>
      </c>
      <c r="F1322" s="71" t="s">
        <v>285</v>
      </c>
      <c r="G1322" s="41" t="s">
        <v>19</v>
      </c>
      <c r="H1322" s="61">
        <v>45539</v>
      </c>
      <c r="I1322" s="59">
        <v>0.29166666666666669</v>
      </c>
      <c r="J1322" s="117" t="s">
        <v>14</v>
      </c>
      <c r="K1322" s="22"/>
    </row>
    <row r="1323" spans="2:11">
      <c r="B1323" s="22" t="s">
        <v>294</v>
      </c>
      <c r="C1323" s="28">
        <f>IF(B1323&lt;&gt;"",VLOOKUP(B1323,Projetos!E:F,2,0),"")</f>
        <v>26</v>
      </c>
      <c r="D1323" s="22"/>
      <c r="E1323" s="22" t="s">
        <v>31</v>
      </c>
      <c r="F1323" s="71" t="s">
        <v>726</v>
      </c>
      <c r="G1323" s="41" t="s">
        <v>19</v>
      </c>
      <c r="H1323" s="61">
        <v>45544</v>
      </c>
      <c r="I1323" s="59">
        <v>0.29166666666666669</v>
      </c>
      <c r="J1323" s="117" t="s">
        <v>14</v>
      </c>
      <c r="K1323" s="22"/>
    </row>
    <row r="1324" spans="2:11">
      <c r="B1324" s="22" t="s">
        <v>294</v>
      </c>
      <c r="C1324" s="28">
        <f>IF(B1324&lt;&gt;"",VLOOKUP(B1324,Projetos!E:F,2,0),"")</f>
        <v>26</v>
      </c>
      <c r="D1324" s="22"/>
      <c r="E1324" s="22" t="s">
        <v>31</v>
      </c>
      <c r="F1324" s="71" t="s">
        <v>726</v>
      </c>
      <c r="G1324" s="41" t="s">
        <v>19</v>
      </c>
      <c r="H1324" s="61">
        <v>45545</v>
      </c>
      <c r="I1324" s="59">
        <v>0.29166666666666669</v>
      </c>
      <c r="J1324" s="117" t="s">
        <v>14</v>
      </c>
      <c r="K1324" s="22"/>
    </row>
    <row r="1325" spans="2:11">
      <c r="B1325" s="22" t="s">
        <v>156</v>
      </c>
      <c r="C1325" s="28">
        <f>IF(B1325&lt;&gt;"",VLOOKUP(B1325,Projetos!E:F,2,0),"")</f>
        <v>3</v>
      </c>
      <c r="D1325" s="22"/>
      <c r="E1325" s="22" t="s">
        <v>40</v>
      </c>
      <c r="F1325" s="71" t="s">
        <v>727</v>
      </c>
      <c r="G1325" s="41" t="s">
        <v>66</v>
      </c>
      <c r="H1325" s="122">
        <v>45544</v>
      </c>
      <c r="I1325" s="59">
        <v>0.25</v>
      </c>
      <c r="J1325" s="117" t="s">
        <v>14</v>
      </c>
      <c r="K1325" s="22"/>
    </row>
    <row r="1326" spans="2:11">
      <c r="B1326" s="22" t="s">
        <v>192</v>
      </c>
      <c r="C1326" s="28">
        <f>IF(B1326&lt;&gt;"",VLOOKUP(B1326,Projetos!E:F,2,0),"")</f>
        <v>32</v>
      </c>
      <c r="D1326" s="22"/>
      <c r="E1326" s="22" t="s">
        <v>193</v>
      </c>
      <c r="F1326" s="71" t="s">
        <v>668</v>
      </c>
      <c r="G1326" s="117" t="s">
        <v>525</v>
      </c>
      <c r="H1326" s="42">
        <v>45544</v>
      </c>
      <c r="I1326" s="68">
        <v>0.125</v>
      </c>
      <c r="J1326" s="117" t="s">
        <v>14</v>
      </c>
      <c r="K1326" s="22"/>
    </row>
    <row r="1327" spans="2:11">
      <c r="B1327" s="22" t="s">
        <v>140</v>
      </c>
      <c r="C1327" s="28">
        <f>IF(B1327&lt;&gt;"",VLOOKUP(B1327,Projetos!E:F,2,0),"")</f>
        <v>39</v>
      </c>
      <c r="D1327" s="22"/>
      <c r="E1327" s="22" t="s">
        <v>40</v>
      </c>
      <c r="F1327" s="71" t="s">
        <v>728</v>
      </c>
      <c r="G1327" s="41" t="s">
        <v>528</v>
      </c>
      <c r="H1327" s="123">
        <v>45540</v>
      </c>
      <c r="I1327" s="59">
        <v>0.125</v>
      </c>
      <c r="J1327" s="117" t="s">
        <v>14</v>
      </c>
      <c r="K1327" s="22"/>
    </row>
    <row r="1328" spans="2:11">
      <c r="B1328" s="22" t="s">
        <v>140</v>
      </c>
      <c r="C1328" s="28">
        <f>IF(B1328&lt;&gt;"",VLOOKUP(B1328,Projetos!E:F,2,0),"")</f>
        <v>39</v>
      </c>
      <c r="D1328" s="22"/>
      <c r="E1328" s="22" t="s">
        <v>40</v>
      </c>
      <c r="F1328" s="71" t="s">
        <v>729</v>
      </c>
      <c r="G1328" s="41" t="s">
        <v>528</v>
      </c>
      <c r="H1328" s="61">
        <v>45541</v>
      </c>
      <c r="I1328" s="59">
        <v>0.16666666666666666</v>
      </c>
      <c r="J1328" s="117" t="s">
        <v>14</v>
      </c>
      <c r="K1328" s="22"/>
    </row>
    <row r="1329" spans="2:11">
      <c r="B1329" s="22" t="s">
        <v>140</v>
      </c>
      <c r="C1329" s="28">
        <f>IF(B1329&lt;&gt;"",VLOOKUP(B1329,Projetos!E:F,2,0),"")</f>
        <v>39</v>
      </c>
      <c r="D1329" s="22"/>
      <c r="E1329" s="22" t="s">
        <v>16</v>
      </c>
      <c r="F1329" s="71" t="s">
        <v>730</v>
      </c>
      <c r="G1329" s="41" t="s">
        <v>528</v>
      </c>
      <c r="H1329" s="61">
        <v>45541</v>
      </c>
      <c r="I1329" s="59">
        <v>4.1666666666666664E-2</v>
      </c>
      <c r="J1329" s="117" t="s">
        <v>14</v>
      </c>
      <c r="K1329" s="22"/>
    </row>
    <row r="1330" spans="2:11">
      <c r="B1330" s="22" t="s">
        <v>140</v>
      </c>
      <c r="C1330" s="28">
        <f>IF(B1330&lt;&gt;"",VLOOKUP(B1330,Projetos!E:F,2,0),"")</f>
        <v>39</v>
      </c>
      <c r="D1330" s="22"/>
      <c r="E1330" s="22" t="s">
        <v>40</v>
      </c>
      <c r="F1330" s="71" t="s">
        <v>731</v>
      </c>
      <c r="G1330" s="41" t="s">
        <v>528</v>
      </c>
      <c r="H1330" s="61">
        <v>45544</v>
      </c>
      <c r="I1330" s="59">
        <v>0.17708333333333334</v>
      </c>
      <c r="J1330" s="117" t="s">
        <v>14</v>
      </c>
      <c r="K1330" s="22"/>
    </row>
    <row r="1331" spans="2:11" ht="30">
      <c r="B1331" s="22" t="s">
        <v>136</v>
      </c>
      <c r="C1331" s="28">
        <f>IF(B1331&lt;&gt;"",VLOOKUP(B1331,Projetos!E:F,2,0),"")</f>
        <v>25</v>
      </c>
      <c r="D1331" s="22"/>
      <c r="E1331" s="22" t="s">
        <v>49</v>
      </c>
      <c r="F1331" s="71" t="s">
        <v>732</v>
      </c>
      <c r="G1331" s="41" t="s">
        <v>64</v>
      </c>
      <c r="H1331" s="61">
        <v>45544</v>
      </c>
      <c r="I1331" s="59">
        <v>0.16666666666666666</v>
      </c>
      <c r="J1331" s="117" t="s">
        <v>14</v>
      </c>
      <c r="K1331" s="22"/>
    </row>
    <row r="1332" spans="2:11" ht="30">
      <c r="B1332" s="22" t="s">
        <v>136</v>
      </c>
      <c r="C1332" s="28">
        <f>IF(B1332&lt;&gt;"",VLOOKUP(B1332,Projetos!E:F,2,0),"")</f>
        <v>25</v>
      </c>
      <c r="D1332" s="22"/>
      <c r="E1332" s="22" t="s">
        <v>16</v>
      </c>
      <c r="F1332" s="71" t="s">
        <v>733</v>
      </c>
      <c r="G1332" s="41" t="s">
        <v>64</v>
      </c>
      <c r="H1332" s="61">
        <v>45544</v>
      </c>
      <c r="I1332" s="59">
        <v>4.1666666666666664E-2</v>
      </c>
      <c r="J1332" s="117" t="s">
        <v>14</v>
      </c>
      <c r="K1332" s="22"/>
    </row>
    <row r="1333" spans="2:11">
      <c r="B1333" s="22" t="s">
        <v>192</v>
      </c>
      <c r="C1333" s="28">
        <f>IF(B1333&lt;&gt;"",VLOOKUP(B1333,Projetos!E:F,2,0),"")</f>
        <v>32</v>
      </c>
      <c r="D1333" s="22"/>
      <c r="E1333" s="22" t="s">
        <v>193</v>
      </c>
      <c r="F1333" s="71" t="s">
        <v>734</v>
      </c>
      <c r="G1333" s="41" t="s">
        <v>64</v>
      </c>
      <c r="H1333" s="61">
        <v>45544</v>
      </c>
      <c r="I1333" s="59">
        <v>4.1666666666666664E-2</v>
      </c>
      <c r="J1333" s="117" t="s">
        <v>14</v>
      </c>
      <c r="K1333" s="22"/>
    </row>
    <row r="1334" spans="2:11" ht="30">
      <c r="B1334" s="22" t="s">
        <v>140</v>
      </c>
      <c r="C1334" s="28">
        <f>IF(B1334&lt;&gt;"",VLOOKUP(B1334,Projetos!E:F,2,0),"")</f>
        <v>39</v>
      </c>
      <c r="D1334" s="22"/>
      <c r="E1334" s="22" t="s">
        <v>158</v>
      </c>
      <c r="F1334" s="71" t="s">
        <v>735</v>
      </c>
      <c r="G1334" s="41" t="s">
        <v>64</v>
      </c>
      <c r="H1334" s="61">
        <v>45544</v>
      </c>
      <c r="I1334" s="59">
        <v>8.3333333333333329E-2</v>
      </c>
      <c r="J1334" s="117" t="s">
        <v>14</v>
      </c>
      <c r="K1334" s="22"/>
    </row>
    <row r="1335" spans="2:11">
      <c r="B1335" s="22" t="s">
        <v>736</v>
      </c>
      <c r="C1335" s="28">
        <f>IF(B1335&lt;&gt;"",VLOOKUP(B1335,Projetos!E:F,2,0),"")</f>
        <v>54</v>
      </c>
      <c r="D1335" s="22"/>
      <c r="E1335" s="22" t="s">
        <v>40</v>
      </c>
      <c r="F1335" s="71" t="s">
        <v>737</v>
      </c>
      <c r="G1335" s="41" t="s">
        <v>42</v>
      </c>
      <c r="H1335" s="61">
        <v>45541</v>
      </c>
      <c r="I1335" s="59">
        <v>0.33333333333333331</v>
      </c>
      <c r="J1335" s="117" t="s">
        <v>14</v>
      </c>
      <c r="K1335" s="22"/>
    </row>
    <row r="1336" spans="2:11">
      <c r="B1336" s="22" t="s">
        <v>736</v>
      </c>
      <c r="C1336" s="28">
        <f>IF(B1336&lt;&gt;"",VLOOKUP(B1336,Projetos!E:F,2,0),"")</f>
        <v>54</v>
      </c>
      <c r="D1336" s="22"/>
      <c r="E1336" s="22" t="s">
        <v>40</v>
      </c>
      <c r="F1336" s="71" t="s">
        <v>737</v>
      </c>
      <c r="G1336" s="41" t="s">
        <v>42</v>
      </c>
      <c r="H1336" s="61">
        <v>45542</v>
      </c>
      <c r="I1336" s="59">
        <v>0.33333333333333331</v>
      </c>
      <c r="J1336" s="117" t="s">
        <v>14</v>
      </c>
      <c r="K1336" s="22"/>
    </row>
    <row r="1337" spans="2:11">
      <c r="B1337" s="22" t="s">
        <v>736</v>
      </c>
      <c r="C1337" s="28">
        <f>IF(B1337&lt;&gt;"",VLOOKUP(B1337,Projetos!E:F,2,0),"")</f>
        <v>54</v>
      </c>
      <c r="D1337" s="22"/>
      <c r="E1337" s="22" t="s">
        <v>40</v>
      </c>
      <c r="F1337" s="71" t="s">
        <v>737</v>
      </c>
      <c r="G1337" s="41" t="s">
        <v>42</v>
      </c>
      <c r="H1337" s="61">
        <v>45540</v>
      </c>
      <c r="I1337" s="59">
        <v>0.33333333333333331</v>
      </c>
      <c r="J1337" s="117" t="s">
        <v>14</v>
      </c>
      <c r="K1337" s="22"/>
    </row>
    <row r="1338" spans="2:11">
      <c r="B1338" s="22" t="s">
        <v>140</v>
      </c>
      <c r="C1338" s="28">
        <f>IF(B1338&lt;&gt;"",VLOOKUP(B1338,Projetos!E:F,2,0),"")</f>
        <v>39</v>
      </c>
      <c r="D1338" s="22"/>
      <c r="E1338" s="22" t="s">
        <v>40</v>
      </c>
      <c r="F1338" s="71" t="s">
        <v>738</v>
      </c>
      <c r="G1338" s="41" t="s">
        <v>42</v>
      </c>
      <c r="H1338" s="61">
        <v>45544</v>
      </c>
      <c r="I1338" s="59">
        <v>4.1666666666666664E-2</v>
      </c>
      <c r="J1338" s="117" t="s">
        <v>14</v>
      </c>
      <c r="K1338" s="22"/>
    </row>
    <row r="1339" spans="2:11">
      <c r="B1339" s="22" t="s">
        <v>138</v>
      </c>
      <c r="C1339" s="28">
        <f>IF(B1339&lt;&gt;"",VLOOKUP(B1339,Projetos!E:F,2,0),"")</f>
        <v>30</v>
      </c>
      <c r="D1339" s="22"/>
      <c r="E1339" s="22" t="s">
        <v>16</v>
      </c>
      <c r="F1339" s="71" t="s">
        <v>739</v>
      </c>
      <c r="G1339" s="41" t="s">
        <v>42</v>
      </c>
      <c r="H1339" s="61">
        <v>45544</v>
      </c>
      <c r="I1339" s="59">
        <v>0.29166666666666669</v>
      </c>
      <c r="J1339" s="117" t="s">
        <v>14</v>
      </c>
      <c r="K1339" s="22"/>
    </row>
    <row r="1340" spans="2:11">
      <c r="B1340" s="22" t="s">
        <v>140</v>
      </c>
      <c r="C1340" s="28">
        <f>IF(B1340&lt;&gt;"",VLOOKUP(B1340,Projetos!E:F,2,0),"")</f>
        <v>39</v>
      </c>
      <c r="D1340" s="22"/>
      <c r="E1340" s="22" t="s">
        <v>158</v>
      </c>
      <c r="F1340" s="71" t="s">
        <v>711</v>
      </c>
      <c r="G1340" s="41" t="s">
        <v>525</v>
      </c>
      <c r="H1340" s="61">
        <v>45545</v>
      </c>
      <c r="I1340" s="59">
        <v>0.25</v>
      </c>
      <c r="J1340" s="117" t="s">
        <v>14</v>
      </c>
      <c r="K1340" s="22"/>
    </row>
    <row r="1341" spans="2:11">
      <c r="B1341" s="22" t="s">
        <v>140</v>
      </c>
      <c r="C1341" s="28">
        <f>IF(B1341&lt;&gt;"",VLOOKUP(B1341,Projetos!E:F,2,0),"")</f>
        <v>39</v>
      </c>
      <c r="D1341" s="22"/>
      <c r="E1341" s="22" t="s">
        <v>158</v>
      </c>
      <c r="F1341" s="71" t="s">
        <v>740</v>
      </c>
      <c r="G1341" s="41" t="s">
        <v>528</v>
      </c>
      <c r="H1341" s="61">
        <v>45545</v>
      </c>
      <c r="I1341" s="59">
        <v>0.16666666666666666</v>
      </c>
      <c r="J1341" s="117" t="s">
        <v>14</v>
      </c>
      <c r="K1341" s="22"/>
    </row>
    <row r="1342" spans="2:11">
      <c r="B1342" s="22" t="s">
        <v>140</v>
      </c>
      <c r="C1342" s="28">
        <f>IF(B1342&lt;&gt;"",VLOOKUP(B1342,Projetos!E:F,2,0),"")</f>
        <v>39</v>
      </c>
      <c r="D1342" s="22"/>
      <c r="E1342" s="22" t="s">
        <v>40</v>
      </c>
      <c r="F1342" s="71" t="s">
        <v>741</v>
      </c>
      <c r="G1342" s="41" t="s">
        <v>528</v>
      </c>
      <c r="H1342" s="61">
        <v>45545</v>
      </c>
      <c r="I1342" s="59">
        <v>4.1666666666666664E-2</v>
      </c>
      <c r="J1342" s="117" t="s">
        <v>14</v>
      </c>
      <c r="K1342" s="22"/>
    </row>
    <row r="1343" spans="2:11">
      <c r="B1343" s="22" t="s">
        <v>192</v>
      </c>
      <c r="C1343" s="28">
        <f>IF(B1343&lt;&gt;"",VLOOKUP(B1343,Projetos!E:F,2,0),"")</f>
        <v>32</v>
      </c>
      <c r="D1343" s="22"/>
      <c r="E1343" s="22" t="s">
        <v>193</v>
      </c>
      <c r="F1343" s="71" t="s">
        <v>742</v>
      </c>
      <c r="G1343" s="41" t="s">
        <v>34</v>
      </c>
      <c r="H1343" s="61">
        <v>45541</v>
      </c>
      <c r="I1343" s="59">
        <v>8.3333333333333329E-2</v>
      </c>
      <c r="J1343" s="117" t="s">
        <v>14</v>
      </c>
      <c r="K1343" s="22"/>
    </row>
    <row r="1344" spans="2:11">
      <c r="B1344" s="22" t="s">
        <v>192</v>
      </c>
      <c r="C1344" s="28">
        <f>IF(B1344&lt;&gt;"",VLOOKUP(B1344,Projetos!E:F,2,0),"")</f>
        <v>32</v>
      </c>
      <c r="D1344" s="22"/>
      <c r="E1344" s="22" t="s">
        <v>193</v>
      </c>
      <c r="F1344" s="71" t="s">
        <v>743</v>
      </c>
      <c r="G1344" s="41" t="s">
        <v>34</v>
      </c>
      <c r="H1344" s="61">
        <v>45544</v>
      </c>
      <c r="I1344" s="59">
        <v>0.16666666666666666</v>
      </c>
      <c r="J1344" s="117" t="s">
        <v>14</v>
      </c>
      <c r="K1344" s="22"/>
    </row>
    <row r="1345" spans="2:11">
      <c r="B1345" s="22" t="s">
        <v>192</v>
      </c>
      <c r="C1345" s="28">
        <f>IF(B1345&lt;&gt;"",VLOOKUP(B1345,Projetos!E:F,2,0),"")</f>
        <v>32</v>
      </c>
      <c r="D1345" s="22"/>
      <c r="E1345" s="22" t="s">
        <v>193</v>
      </c>
      <c r="F1345" s="71" t="s">
        <v>744</v>
      </c>
      <c r="G1345" s="41" t="s">
        <v>34</v>
      </c>
      <c r="H1345" s="61">
        <v>45544</v>
      </c>
      <c r="I1345" s="59">
        <v>0.16666666666666666</v>
      </c>
      <c r="J1345" s="117" t="s">
        <v>14</v>
      </c>
      <c r="K1345" s="22"/>
    </row>
    <row r="1346" spans="2:11">
      <c r="B1346" s="22" t="s">
        <v>192</v>
      </c>
      <c r="C1346" s="28">
        <f>IF(B1346&lt;&gt;"",VLOOKUP(B1346,Projetos!E:F,2,0),"")</f>
        <v>32</v>
      </c>
      <c r="D1346" s="22"/>
      <c r="E1346" s="22" t="s">
        <v>193</v>
      </c>
      <c r="F1346" s="71" t="s">
        <v>745</v>
      </c>
      <c r="G1346" s="41" t="s">
        <v>34</v>
      </c>
      <c r="H1346" s="61">
        <v>45545</v>
      </c>
      <c r="I1346" s="59">
        <v>0.16666666666666666</v>
      </c>
      <c r="J1346" s="117" t="s">
        <v>14</v>
      </c>
      <c r="K1346" s="22"/>
    </row>
    <row r="1347" spans="2:11">
      <c r="B1347" s="22" t="s">
        <v>192</v>
      </c>
      <c r="C1347" s="28">
        <f>IF(B1347&lt;&gt;"",VLOOKUP(B1347,Projetos!E:F,2,0),"")</f>
        <v>32</v>
      </c>
      <c r="D1347" s="22"/>
      <c r="E1347" s="22" t="s">
        <v>193</v>
      </c>
      <c r="F1347" s="71" t="s">
        <v>746</v>
      </c>
      <c r="G1347" s="41" t="s">
        <v>34</v>
      </c>
      <c r="H1347" s="61">
        <v>45545</v>
      </c>
      <c r="I1347" s="59">
        <v>0.16666666666666666</v>
      </c>
      <c r="J1347" s="117" t="s">
        <v>14</v>
      </c>
      <c r="K1347" s="22"/>
    </row>
    <row r="1348" spans="2:11">
      <c r="B1348" s="22" t="s">
        <v>192</v>
      </c>
      <c r="C1348" s="28">
        <f>IF(B1348&lt;&gt;"",VLOOKUP(B1348,Projetos!E:F,2,0),"")</f>
        <v>32</v>
      </c>
      <c r="D1348" s="22"/>
      <c r="E1348" s="22" t="s">
        <v>193</v>
      </c>
      <c r="F1348" s="71" t="s">
        <v>747</v>
      </c>
      <c r="G1348" s="41" t="s">
        <v>34</v>
      </c>
      <c r="H1348" s="61">
        <v>45539</v>
      </c>
      <c r="I1348" s="59">
        <v>0.16666666666666666</v>
      </c>
      <c r="J1348" s="117" t="s">
        <v>14</v>
      </c>
      <c r="K1348" s="22"/>
    </row>
    <row r="1349" spans="2:11">
      <c r="B1349" s="22" t="s">
        <v>192</v>
      </c>
      <c r="C1349" s="28">
        <f>IF(B1349&lt;&gt;"",VLOOKUP(B1349,Projetos!E:F,2,0),"")</f>
        <v>32</v>
      </c>
      <c r="D1349" s="22"/>
      <c r="E1349" s="22" t="s">
        <v>193</v>
      </c>
      <c r="F1349" s="71" t="s">
        <v>748</v>
      </c>
      <c r="G1349" s="41" t="s">
        <v>34</v>
      </c>
      <c r="H1349" s="61">
        <v>45540</v>
      </c>
      <c r="I1349" s="59">
        <v>0.16666666666666666</v>
      </c>
      <c r="J1349" s="117" t="s">
        <v>14</v>
      </c>
      <c r="K1349" s="22"/>
    </row>
    <row r="1350" spans="2:11">
      <c r="B1350" s="22" t="s">
        <v>156</v>
      </c>
      <c r="C1350" s="28">
        <f>IF(B1350&lt;&gt;"",VLOOKUP(B1350,Projetos!E:F,2,0),"")</f>
        <v>3</v>
      </c>
      <c r="D1350" s="22"/>
      <c r="E1350" s="22" t="s">
        <v>40</v>
      </c>
      <c r="F1350" s="71" t="s">
        <v>727</v>
      </c>
      <c r="G1350" s="41" t="s">
        <v>66</v>
      </c>
      <c r="H1350" s="61">
        <v>45545</v>
      </c>
      <c r="I1350" s="59">
        <v>0.25</v>
      </c>
      <c r="J1350" s="117" t="s">
        <v>14</v>
      </c>
      <c r="K1350" s="22"/>
    </row>
    <row r="1351" spans="2:11" ht="30">
      <c r="B1351" s="22" t="s">
        <v>136</v>
      </c>
      <c r="C1351" s="28">
        <f>IF(B1351&lt;&gt;"",VLOOKUP(B1351,Projetos!E:F,2,0),"")</f>
        <v>25</v>
      </c>
      <c r="D1351" s="22"/>
      <c r="E1351" s="22" t="s">
        <v>40</v>
      </c>
      <c r="F1351" s="71" t="s">
        <v>749</v>
      </c>
      <c r="G1351" s="41" t="s">
        <v>64</v>
      </c>
      <c r="H1351" s="61">
        <v>45545</v>
      </c>
      <c r="I1351" s="59">
        <v>0.33333333333333331</v>
      </c>
      <c r="J1351" s="117" t="s">
        <v>14</v>
      </c>
      <c r="K1351" s="22"/>
    </row>
    <row r="1352" spans="2:11">
      <c r="B1352" s="22" t="s">
        <v>138</v>
      </c>
      <c r="C1352" s="28">
        <f>IF(B1352&lt;&gt;"",VLOOKUP(B1352,Projetos!E:F,2,0),"")</f>
        <v>30</v>
      </c>
      <c r="D1352" s="22"/>
      <c r="E1352" s="22" t="s">
        <v>16</v>
      </c>
      <c r="F1352" s="71" t="s">
        <v>750</v>
      </c>
      <c r="G1352" s="41" t="s">
        <v>64</v>
      </c>
      <c r="H1352" s="61">
        <v>45546</v>
      </c>
      <c r="I1352" s="59">
        <v>5.6944444444444443E-2</v>
      </c>
      <c r="J1352" s="117" t="s">
        <v>14</v>
      </c>
      <c r="K1352" s="22"/>
    </row>
    <row r="1353" spans="2:11">
      <c r="B1353" s="22" t="s">
        <v>138</v>
      </c>
      <c r="C1353" s="28">
        <f>IF(B1353&lt;&gt;"",VLOOKUP(B1353,Projetos!E:F,2,0),"")</f>
        <v>30</v>
      </c>
      <c r="D1353" s="22"/>
      <c r="E1353" s="22" t="s">
        <v>16</v>
      </c>
      <c r="F1353" s="71" t="s">
        <v>750</v>
      </c>
      <c r="G1353" s="41" t="s">
        <v>34</v>
      </c>
      <c r="H1353" s="61">
        <v>45546</v>
      </c>
      <c r="I1353" s="59">
        <v>6.25E-2</v>
      </c>
      <c r="J1353" s="117" t="s">
        <v>14</v>
      </c>
      <c r="K1353" s="22"/>
    </row>
    <row r="1354" spans="2:11" ht="45">
      <c r="B1354" s="22" t="s">
        <v>140</v>
      </c>
      <c r="C1354" s="28">
        <f>IF(B1354&lt;&gt;"",VLOOKUP(B1354,Projetos!E:F,2,0),"")</f>
        <v>39</v>
      </c>
      <c r="D1354" s="22"/>
      <c r="E1354" s="22" t="s">
        <v>31</v>
      </c>
      <c r="F1354" s="71" t="s">
        <v>751</v>
      </c>
      <c r="G1354" s="41" t="s">
        <v>34</v>
      </c>
      <c r="H1354" s="61">
        <v>45546</v>
      </c>
      <c r="I1354" s="59">
        <v>4.1666666666666664E-2</v>
      </c>
      <c r="J1354" s="117" t="s">
        <v>14</v>
      </c>
      <c r="K1354" s="22"/>
    </row>
    <row r="1355" spans="2:11">
      <c r="B1355" s="22" t="s">
        <v>156</v>
      </c>
      <c r="C1355" s="28">
        <f>IF(B1355&lt;&gt;"",VLOOKUP(B1355,Projetos!E:F,2,0),"")</f>
        <v>3</v>
      </c>
      <c r="D1355" s="22"/>
      <c r="E1355" s="22" t="s">
        <v>40</v>
      </c>
      <c r="F1355" s="71" t="s">
        <v>752</v>
      </c>
      <c r="G1355" s="41" t="s">
        <v>66</v>
      </c>
      <c r="H1355" s="61">
        <v>45546</v>
      </c>
      <c r="I1355" s="59">
        <v>0.25</v>
      </c>
      <c r="J1355" s="117" t="s">
        <v>14</v>
      </c>
      <c r="K1355" s="22"/>
    </row>
    <row r="1356" spans="2:11" ht="30">
      <c r="B1356" s="22" t="s">
        <v>138</v>
      </c>
      <c r="C1356" s="28">
        <f>IF(B1356&lt;&gt;"",VLOOKUP(B1356,Projetos!E:F,2,0),"")</f>
        <v>30</v>
      </c>
      <c r="D1356" s="22"/>
      <c r="E1356" s="22" t="s">
        <v>26</v>
      </c>
      <c r="F1356" s="71" t="s">
        <v>753</v>
      </c>
      <c r="G1356" s="41" t="s">
        <v>34</v>
      </c>
      <c r="H1356" s="61">
        <v>45546</v>
      </c>
      <c r="I1356" s="59">
        <v>8.3333333333333329E-2</v>
      </c>
      <c r="J1356" s="117" t="s">
        <v>14</v>
      </c>
      <c r="K1356" s="22"/>
    </row>
    <row r="1357" spans="2:11">
      <c r="B1357" s="22" t="s">
        <v>140</v>
      </c>
      <c r="C1357" s="28">
        <f>IF(B1357&lt;&gt;"",VLOOKUP(B1357,Projetos!E:F,2,0),"")</f>
        <v>39</v>
      </c>
      <c r="D1357" s="22"/>
      <c r="E1357" s="22" t="s">
        <v>16</v>
      </c>
      <c r="F1357" s="71" t="s">
        <v>754</v>
      </c>
      <c r="G1357" s="41" t="s">
        <v>525</v>
      </c>
      <c r="H1357" s="61">
        <v>45546</v>
      </c>
      <c r="I1357" s="59">
        <v>4.1666666666666664E-2</v>
      </c>
      <c r="J1357" s="117" t="s">
        <v>14</v>
      </c>
      <c r="K1357" s="22"/>
    </row>
    <row r="1358" spans="2:11">
      <c r="B1358" s="22" t="s">
        <v>140</v>
      </c>
      <c r="C1358" s="28">
        <f>IF(B1358&lt;&gt;"",VLOOKUP(B1358,Projetos!E:F,2,0),"")</f>
        <v>39</v>
      </c>
      <c r="D1358" s="22"/>
      <c r="E1358" s="22" t="s">
        <v>40</v>
      </c>
      <c r="F1358" s="71" t="s">
        <v>755</v>
      </c>
      <c r="G1358" s="41" t="s">
        <v>525</v>
      </c>
      <c r="H1358" s="61">
        <v>45546</v>
      </c>
      <c r="I1358" s="59">
        <v>0.16666666666666666</v>
      </c>
      <c r="J1358" s="117" t="s">
        <v>14</v>
      </c>
      <c r="K1358" s="22"/>
    </row>
    <row r="1359" spans="2:11">
      <c r="B1359" s="22" t="s">
        <v>192</v>
      </c>
      <c r="C1359" s="28">
        <f>IF(B1359&lt;&gt;"",VLOOKUP(B1359,Projetos!E:F,2,0),"")</f>
        <v>32</v>
      </c>
      <c r="D1359" s="22"/>
      <c r="E1359" s="22" t="s">
        <v>193</v>
      </c>
      <c r="F1359" s="71" t="s">
        <v>756</v>
      </c>
      <c r="G1359" s="41" t="s">
        <v>525</v>
      </c>
      <c r="H1359" s="61">
        <v>45546</v>
      </c>
      <c r="I1359" s="59">
        <v>4.1666666666666664E-2</v>
      </c>
      <c r="J1359" s="117" t="s">
        <v>14</v>
      </c>
      <c r="K1359" s="22"/>
    </row>
    <row r="1360" spans="2:11" ht="30">
      <c r="B1360" s="22" t="s">
        <v>294</v>
      </c>
      <c r="C1360" s="28">
        <f>IF(B1360&lt;&gt;"",VLOOKUP(B1360,Projetos!E:F,2,0),"")</f>
        <v>26</v>
      </c>
      <c r="D1360" s="22"/>
      <c r="E1360" s="22" t="s">
        <v>21</v>
      </c>
      <c r="F1360" s="71" t="s">
        <v>757</v>
      </c>
      <c r="G1360" s="41" t="s">
        <v>19</v>
      </c>
      <c r="H1360" s="61">
        <v>45545</v>
      </c>
      <c r="I1360" s="59">
        <v>0.29166666666666669</v>
      </c>
      <c r="J1360" s="117" t="s">
        <v>14</v>
      </c>
      <c r="K1360" s="22"/>
    </row>
    <row r="1361" spans="2:11" ht="30">
      <c r="B1361" s="22" t="s">
        <v>294</v>
      </c>
      <c r="C1361" s="28">
        <f>IF(B1361&lt;&gt;"",VLOOKUP(B1361,Projetos!E:F,2,0),"")</f>
        <v>26</v>
      </c>
      <c r="D1361" s="22"/>
      <c r="E1361" s="22" t="s">
        <v>21</v>
      </c>
      <c r="F1361" s="71" t="s">
        <v>757</v>
      </c>
      <c r="G1361" s="41" t="s">
        <v>19</v>
      </c>
      <c r="H1361" s="61">
        <v>45546</v>
      </c>
      <c r="I1361" s="59">
        <v>0.29166666666666669</v>
      </c>
      <c r="J1361" s="117"/>
      <c r="K1361" s="22"/>
    </row>
    <row r="1362" spans="2:11" ht="30">
      <c r="B1362" s="22" t="s">
        <v>136</v>
      </c>
      <c r="C1362" s="28">
        <f>IF(B1362&lt;&gt;"",VLOOKUP(B1362,Projetos!E:F,2,0),"")</f>
        <v>25</v>
      </c>
      <c r="D1362" s="22"/>
      <c r="E1362" s="22" t="s">
        <v>49</v>
      </c>
      <c r="F1362" s="71" t="s">
        <v>758</v>
      </c>
      <c r="G1362" s="41" t="s">
        <v>64</v>
      </c>
      <c r="H1362" s="121">
        <v>45546</v>
      </c>
      <c r="I1362" s="59">
        <v>0.16666666666666666</v>
      </c>
      <c r="J1362" s="117" t="s">
        <v>14</v>
      </c>
      <c r="K1362" s="22"/>
    </row>
    <row r="1363" spans="2:11" ht="30">
      <c r="B1363" s="22" t="s">
        <v>136</v>
      </c>
      <c r="C1363" s="28">
        <f>IF(B1363&lt;&gt;"",VLOOKUP(B1363,Projetos!E:F,2,0),"")</f>
        <v>25</v>
      </c>
      <c r="D1363" s="22"/>
      <c r="E1363" s="22" t="s">
        <v>40</v>
      </c>
      <c r="F1363" s="71" t="s">
        <v>749</v>
      </c>
      <c r="G1363" s="41" t="s">
        <v>64</v>
      </c>
      <c r="H1363" s="61">
        <v>45546</v>
      </c>
      <c r="I1363" s="59">
        <v>0.10972222222222222</v>
      </c>
      <c r="J1363" s="117" t="s">
        <v>14</v>
      </c>
      <c r="K1363" s="22"/>
    </row>
    <row r="1364" spans="2:11" ht="30">
      <c r="B1364" s="22" t="s">
        <v>138</v>
      </c>
      <c r="C1364" s="28">
        <f>IF(B1364&lt;&gt;"",VLOOKUP(B1364,Projetos!E:F,2,0),"")</f>
        <v>30</v>
      </c>
      <c r="D1364" s="22"/>
      <c r="E1364" s="22" t="s">
        <v>26</v>
      </c>
      <c r="F1364" s="71" t="s">
        <v>759</v>
      </c>
      <c r="G1364" s="41" t="s">
        <v>34</v>
      </c>
      <c r="H1364" s="61">
        <v>45547</v>
      </c>
      <c r="I1364" s="59">
        <v>0.29166666666666669</v>
      </c>
      <c r="J1364" s="117" t="s">
        <v>14</v>
      </c>
      <c r="K1364" s="22"/>
    </row>
    <row r="1365" spans="2:11">
      <c r="B1365" s="22" t="s">
        <v>643</v>
      </c>
      <c r="C1365" s="28">
        <f>IF(B1365&lt;&gt;"",VLOOKUP(B1365,Projetos!E:F,2,0),"")</f>
        <v>52</v>
      </c>
      <c r="D1365" s="22"/>
      <c r="E1365" s="22" t="s">
        <v>11</v>
      </c>
      <c r="F1365" s="71" t="s">
        <v>760</v>
      </c>
      <c r="G1365" s="41" t="s">
        <v>19</v>
      </c>
      <c r="H1365" s="61">
        <v>45547</v>
      </c>
      <c r="I1365" s="59">
        <v>0.29166666666666669</v>
      </c>
      <c r="J1365" s="117" t="s">
        <v>14</v>
      </c>
      <c r="K1365" s="22"/>
    </row>
    <row r="1366" spans="2:11">
      <c r="B1366" s="22" t="s">
        <v>140</v>
      </c>
      <c r="C1366" s="28">
        <f>IF(B1366&lt;&gt;"",VLOOKUP(B1366,Projetos!E:F,2,0),"")</f>
        <v>39</v>
      </c>
      <c r="D1366" s="22"/>
      <c r="E1366" s="22" t="s">
        <v>144</v>
      </c>
      <c r="F1366" s="71" t="s">
        <v>711</v>
      </c>
      <c r="G1366" s="41" t="s">
        <v>525</v>
      </c>
      <c r="H1366" s="61">
        <v>45547</v>
      </c>
      <c r="I1366" s="59">
        <v>0.125</v>
      </c>
      <c r="J1366" s="117" t="s">
        <v>14</v>
      </c>
      <c r="K1366" s="22"/>
    </row>
    <row r="1367" spans="2:11">
      <c r="B1367" s="22" t="s">
        <v>192</v>
      </c>
      <c r="C1367" s="28">
        <f>IF(B1367&lt;&gt;"",VLOOKUP(B1367,Projetos!E:F,2,0),"")</f>
        <v>32</v>
      </c>
      <c r="D1367" s="22"/>
      <c r="E1367" s="22" t="s">
        <v>193</v>
      </c>
      <c r="F1367" s="71" t="s">
        <v>761</v>
      </c>
      <c r="G1367" s="41" t="s">
        <v>525</v>
      </c>
      <c r="H1367" s="61">
        <v>45547</v>
      </c>
      <c r="I1367" s="59">
        <v>8.3333333333333329E-2</v>
      </c>
      <c r="J1367" s="117" t="s">
        <v>14</v>
      </c>
      <c r="K1367" s="22"/>
    </row>
    <row r="1368" spans="2:11">
      <c r="B1368" s="22" t="s">
        <v>156</v>
      </c>
      <c r="C1368" s="28">
        <f>IF(B1368&lt;&gt;"",VLOOKUP(B1368,Projetos!E:F,2,0),"")</f>
        <v>3</v>
      </c>
      <c r="D1368" s="22"/>
      <c r="E1368" s="22" t="s">
        <v>40</v>
      </c>
      <c r="F1368" s="71" t="s">
        <v>762</v>
      </c>
      <c r="G1368" s="41" t="s">
        <v>525</v>
      </c>
      <c r="H1368" s="61">
        <v>45547</v>
      </c>
      <c r="I1368" s="59">
        <v>4.1666666666666664E-2</v>
      </c>
      <c r="J1368" s="117" t="s">
        <v>14</v>
      </c>
      <c r="K1368" s="22"/>
    </row>
    <row r="1369" spans="2:11">
      <c r="B1369" s="22" t="s">
        <v>140</v>
      </c>
      <c r="C1369" s="28">
        <f>IF(B1369&lt;&gt;"",VLOOKUP(B1369,Projetos!E:F,2,0),"")</f>
        <v>39</v>
      </c>
      <c r="D1369" s="22"/>
      <c r="E1369" s="22" t="s">
        <v>40</v>
      </c>
      <c r="F1369" s="71" t="s">
        <v>763</v>
      </c>
      <c r="G1369" s="41" t="s">
        <v>528</v>
      </c>
      <c r="H1369" s="61">
        <v>45546</v>
      </c>
      <c r="I1369" s="59">
        <v>0.20833333333333334</v>
      </c>
      <c r="J1369" s="117" t="s">
        <v>14</v>
      </c>
      <c r="K1369" s="22"/>
    </row>
    <row r="1370" spans="2:11">
      <c r="B1370" s="22" t="s">
        <v>140</v>
      </c>
      <c r="C1370" s="28">
        <f>IF(B1370&lt;&gt;"",VLOOKUP(B1370,Projetos!E:F,2,0),"")</f>
        <v>39</v>
      </c>
      <c r="D1370" s="22"/>
      <c r="E1370" s="22" t="s">
        <v>40</v>
      </c>
      <c r="F1370" s="71" t="s">
        <v>764</v>
      </c>
      <c r="G1370" s="41" t="s">
        <v>528</v>
      </c>
      <c r="H1370" s="61">
        <v>45547</v>
      </c>
      <c r="I1370" s="59">
        <v>0.20833333333333334</v>
      </c>
      <c r="J1370" s="117" t="s">
        <v>14</v>
      </c>
      <c r="K1370" s="22"/>
    </row>
    <row r="1371" spans="2:11">
      <c r="B1371" s="22" t="s">
        <v>128</v>
      </c>
      <c r="C1371" s="28">
        <f>IF(B1371&lt;&gt;"",VLOOKUP(B1371,Projetos!E:F,2,0),"")</f>
        <v>23</v>
      </c>
      <c r="D1371" s="22"/>
      <c r="E1371" s="22" t="s">
        <v>49</v>
      </c>
      <c r="F1371" s="71" t="s">
        <v>765</v>
      </c>
      <c r="G1371" s="41" t="s">
        <v>20</v>
      </c>
      <c r="H1371" s="61">
        <v>45544</v>
      </c>
      <c r="I1371" s="59">
        <v>0.16666666666666666</v>
      </c>
      <c r="J1371" s="117" t="s">
        <v>14</v>
      </c>
      <c r="K1371" s="22"/>
    </row>
    <row r="1372" spans="2:11">
      <c r="B1372" s="22" t="s">
        <v>766</v>
      </c>
      <c r="C1372" s="28">
        <f>IF(B1372&lt;&gt;"",VLOOKUP(B1372,Projetos!E:F,2,0),"")</f>
        <v>20</v>
      </c>
      <c r="D1372" s="22"/>
      <c r="E1372" s="22" t="s">
        <v>23</v>
      </c>
      <c r="F1372" s="71" t="s">
        <v>767</v>
      </c>
      <c r="G1372" s="41" t="s">
        <v>20</v>
      </c>
      <c r="H1372" s="61">
        <v>45545</v>
      </c>
      <c r="I1372" s="59">
        <v>0.25</v>
      </c>
      <c r="J1372" s="117" t="s">
        <v>14</v>
      </c>
      <c r="K1372" s="22"/>
    </row>
    <row r="1373" spans="2:11">
      <c r="B1373" s="22" t="s">
        <v>192</v>
      </c>
      <c r="C1373" s="28">
        <f>IF(B1373&lt;&gt;"",VLOOKUP(B1373,Projetos!E:F,2,0),"")</f>
        <v>32</v>
      </c>
      <c r="D1373" s="22"/>
      <c r="E1373" s="22" t="s">
        <v>193</v>
      </c>
      <c r="F1373" s="71" t="s">
        <v>768</v>
      </c>
      <c r="G1373" s="41" t="s">
        <v>20</v>
      </c>
      <c r="H1373" s="61">
        <v>45544</v>
      </c>
      <c r="I1373" s="59">
        <v>0.125</v>
      </c>
      <c r="J1373" s="117" t="s">
        <v>14</v>
      </c>
      <c r="K1373" s="22"/>
    </row>
    <row r="1374" spans="2:11">
      <c r="B1374" s="22" t="s">
        <v>156</v>
      </c>
      <c r="C1374" s="28">
        <f>IF(B1374&lt;&gt;"",VLOOKUP(B1374,Projetos!E:F,2,0),"")</f>
        <v>3</v>
      </c>
      <c r="D1374" s="22"/>
      <c r="E1374" s="22" t="s">
        <v>31</v>
      </c>
      <c r="F1374" s="71" t="s">
        <v>769</v>
      </c>
      <c r="G1374" s="41" t="s">
        <v>28</v>
      </c>
      <c r="H1374" s="61">
        <v>45548</v>
      </c>
      <c r="I1374" s="59">
        <v>0.125</v>
      </c>
      <c r="J1374" s="117" t="s">
        <v>14</v>
      </c>
      <c r="K1374" s="22"/>
    </row>
    <row r="1375" spans="2:11">
      <c r="B1375" s="22" t="s">
        <v>496</v>
      </c>
      <c r="C1375" s="28">
        <f>IF(B1375&lt;&gt;"",VLOOKUP(B1375,Projetos!E:F,2,0),"")</f>
        <v>51</v>
      </c>
      <c r="D1375" s="22"/>
      <c r="E1375" s="22" t="s">
        <v>16</v>
      </c>
      <c r="F1375" s="71" t="s">
        <v>17</v>
      </c>
      <c r="G1375" s="41" t="s">
        <v>20</v>
      </c>
      <c r="H1375" s="61">
        <v>45546</v>
      </c>
      <c r="I1375" s="59">
        <v>0.14583333333333334</v>
      </c>
      <c r="J1375" s="117" t="s">
        <v>14</v>
      </c>
      <c r="K1375" s="22"/>
    </row>
    <row r="1376" spans="2:11">
      <c r="B1376" s="22" t="s">
        <v>736</v>
      </c>
      <c r="C1376" s="28">
        <f>IF(B1376&lt;&gt;"",VLOOKUP(B1376,Projetos!E:F,2,0),"")</f>
        <v>54</v>
      </c>
      <c r="D1376" s="22"/>
      <c r="E1376" s="22" t="s">
        <v>49</v>
      </c>
      <c r="F1376" s="71" t="s">
        <v>770</v>
      </c>
      <c r="G1376" s="41" t="s">
        <v>20</v>
      </c>
      <c r="H1376" s="61">
        <v>45546</v>
      </c>
      <c r="I1376" s="59">
        <v>0.125</v>
      </c>
      <c r="J1376" s="117" t="s">
        <v>14</v>
      </c>
      <c r="K1376" s="22"/>
    </row>
    <row r="1377" spans="2:11">
      <c r="B1377" s="22" t="s">
        <v>156</v>
      </c>
      <c r="C1377" s="28">
        <f>IF(B1377&lt;&gt;"",VLOOKUP(B1377,Projetos!E:F,2,0),"")</f>
        <v>3</v>
      </c>
      <c r="D1377" s="22"/>
      <c r="E1377" s="22" t="s">
        <v>31</v>
      </c>
      <c r="F1377" s="71" t="s">
        <v>769</v>
      </c>
      <c r="G1377" s="41" t="s">
        <v>28</v>
      </c>
      <c r="H1377" s="61">
        <v>45547</v>
      </c>
      <c r="I1377" s="59">
        <v>0.125</v>
      </c>
      <c r="J1377" s="117" t="s">
        <v>14</v>
      </c>
      <c r="K1377" s="22"/>
    </row>
    <row r="1378" spans="2:11">
      <c r="B1378" s="22" t="s">
        <v>488</v>
      </c>
      <c r="C1378" s="28">
        <f>IF(B1378&lt;&gt;"",VLOOKUP(B1378,Projetos!E:F,2,0),"")</f>
        <v>50</v>
      </c>
      <c r="D1378" s="22"/>
      <c r="E1378" s="22" t="s">
        <v>23</v>
      </c>
      <c r="F1378" s="71" t="s">
        <v>771</v>
      </c>
      <c r="G1378" s="41" t="s">
        <v>20</v>
      </c>
      <c r="H1378" s="61">
        <v>45547</v>
      </c>
      <c r="I1378" s="59">
        <v>0.29166666666666669</v>
      </c>
      <c r="J1378" s="117" t="s">
        <v>14</v>
      </c>
      <c r="K1378" s="22"/>
    </row>
    <row r="1379" spans="2:11">
      <c r="B1379" s="22" t="s">
        <v>488</v>
      </c>
      <c r="C1379" s="28">
        <f>IF(B1379&lt;&gt;"",VLOOKUP(B1379,Projetos!E:F,2,0),"")</f>
        <v>50</v>
      </c>
      <c r="D1379" s="22"/>
      <c r="E1379" s="22" t="s">
        <v>23</v>
      </c>
      <c r="F1379" s="71" t="s">
        <v>771</v>
      </c>
      <c r="G1379" s="41" t="s">
        <v>20</v>
      </c>
      <c r="H1379" s="61">
        <v>45548</v>
      </c>
      <c r="I1379" s="59">
        <v>0.16666666666666666</v>
      </c>
      <c r="J1379" s="117" t="s">
        <v>14</v>
      </c>
      <c r="K1379" s="22"/>
    </row>
    <row r="1380" spans="2:11" ht="30">
      <c r="B1380" s="22" t="s">
        <v>140</v>
      </c>
      <c r="C1380" s="28">
        <f>IF(B1380&lt;&gt;"",VLOOKUP(B1380,Projetos!E:F,2,0),"")</f>
        <v>39</v>
      </c>
      <c r="D1380" s="22"/>
      <c r="E1380" s="22" t="s">
        <v>16</v>
      </c>
      <c r="F1380" s="71" t="s">
        <v>772</v>
      </c>
      <c r="G1380" s="41" t="s">
        <v>34</v>
      </c>
      <c r="H1380" s="61">
        <v>45548</v>
      </c>
      <c r="I1380" s="59">
        <v>4.1666666666666664E-2</v>
      </c>
      <c r="J1380" s="117" t="s">
        <v>14</v>
      </c>
      <c r="K1380" s="22"/>
    </row>
    <row r="1381" spans="2:11">
      <c r="B1381" s="22" t="s">
        <v>140</v>
      </c>
      <c r="C1381" s="28">
        <f>IF(B1381&lt;&gt;"",VLOOKUP(B1381,Projetos!E:F,2,0),"")</f>
        <v>39</v>
      </c>
      <c r="D1381" s="22"/>
      <c r="E1381" s="22" t="s">
        <v>40</v>
      </c>
      <c r="F1381" s="71" t="s">
        <v>773</v>
      </c>
      <c r="G1381" s="41" t="s">
        <v>528</v>
      </c>
      <c r="H1381" s="61">
        <v>45548</v>
      </c>
      <c r="I1381" s="59">
        <v>0.20833333333333334</v>
      </c>
      <c r="J1381" s="117" t="s">
        <v>14</v>
      </c>
      <c r="K1381" s="22"/>
    </row>
    <row r="1382" spans="2:11" ht="30">
      <c r="B1382" s="22" t="s">
        <v>136</v>
      </c>
      <c r="C1382" s="28">
        <f>IF(B1382&lt;&gt;"",VLOOKUP(B1382,Projetos!E:F,2,0),"")</f>
        <v>25</v>
      </c>
      <c r="D1382" s="22"/>
      <c r="E1382" s="22" t="s">
        <v>40</v>
      </c>
      <c r="F1382" s="71" t="s">
        <v>749</v>
      </c>
      <c r="G1382" s="41" t="s">
        <v>64</v>
      </c>
      <c r="H1382" s="61">
        <v>45547</v>
      </c>
      <c r="I1382" s="59">
        <v>0.16666666666666666</v>
      </c>
      <c r="J1382" s="117" t="s">
        <v>14</v>
      </c>
      <c r="K1382" s="22"/>
    </row>
    <row r="1383" spans="2:11">
      <c r="B1383" s="22" t="s">
        <v>138</v>
      </c>
      <c r="C1383" s="28">
        <f>IF(B1383&lt;&gt;"",VLOOKUP(B1383,Projetos!E:F,2,0),"")</f>
        <v>30</v>
      </c>
      <c r="D1383" s="22"/>
      <c r="E1383" s="22" t="s">
        <v>23</v>
      </c>
      <c r="F1383" s="71" t="s">
        <v>774</v>
      </c>
      <c r="G1383" s="41" t="s">
        <v>64</v>
      </c>
      <c r="H1383" s="61">
        <v>45547</v>
      </c>
      <c r="I1383" s="59">
        <v>0.16666666666666666</v>
      </c>
      <c r="J1383" s="117" t="s">
        <v>14</v>
      </c>
      <c r="K1383" s="22"/>
    </row>
    <row r="1384" spans="2:11">
      <c r="B1384" s="22" t="s">
        <v>156</v>
      </c>
      <c r="C1384" s="28">
        <f>IF(B1384&lt;&gt;"",VLOOKUP(B1384,Projetos!E:F,2,0),"")</f>
        <v>3</v>
      </c>
      <c r="D1384" s="22"/>
      <c r="E1384" s="22" t="s">
        <v>40</v>
      </c>
      <c r="F1384" s="71" t="s">
        <v>752</v>
      </c>
      <c r="G1384" s="41" t="s">
        <v>66</v>
      </c>
      <c r="H1384" s="61">
        <v>45547</v>
      </c>
      <c r="I1384" s="59">
        <v>0.16666666666666666</v>
      </c>
      <c r="J1384" s="117" t="s">
        <v>14</v>
      </c>
      <c r="K1384" s="22"/>
    </row>
    <row r="1385" spans="2:11">
      <c r="B1385" s="22" t="s">
        <v>136</v>
      </c>
      <c r="C1385" s="28"/>
      <c r="D1385" s="22"/>
      <c r="E1385" s="22" t="s">
        <v>119</v>
      </c>
      <c r="F1385" s="71" t="s">
        <v>775</v>
      </c>
      <c r="G1385" s="41" t="s">
        <v>66</v>
      </c>
      <c r="H1385" s="61">
        <v>45547</v>
      </c>
      <c r="I1385" s="59">
        <v>4.1666666666666664E-2</v>
      </c>
      <c r="J1385" s="117" t="s">
        <v>14</v>
      </c>
      <c r="K1385" s="22"/>
    </row>
    <row r="1386" spans="2:11">
      <c r="B1386" s="22" t="s">
        <v>488</v>
      </c>
      <c r="C1386" s="28">
        <v>50</v>
      </c>
      <c r="D1386" s="22"/>
      <c r="E1386" s="22" t="s">
        <v>144</v>
      </c>
      <c r="F1386" s="71" t="s">
        <v>776</v>
      </c>
      <c r="G1386" s="41" t="s">
        <v>66</v>
      </c>
      <c r="H1386" s="61">
        <v>45547</v>
      </c>
      <c r="I1386" s="59">
        <v>4.1666666666666664E-2</v>
      </c>
      <c r="J1386" s="117" t="s">
        <v>14</v>
      </c>
      <c r="K1386" s="22"/>
    </row>
    <row r="1387" spans="2:11">
      <c r="B1387" s="22" t="s">
        <v>156</v>
      </c>
      <c r="C1387" s="28"/>
      <c r="D1387" s="22"/>
      <c r="E1387" s="22" t="s">
        <v>40</v>
      </c>
      <c r="F1387" s="71" t="s">
        <v>775</v>
      </c>
      <c r="G1387" s="41" t="s">
        <v>66</v>
      </c>
      <c r="H1387" s="61">
        <v>45548</v>
      </c>
      <c r="I1387" s="59">
        <v>0.125</v>
      </c>
      <c r="J1387" s="117" t="s">
        <v>14</v>
      </c>
      <c r="K1387" s="22"/>
    </row>
    <row r="1388" spans="2:11">
      <c r="B1388" s="22" t="s">
        <v>136</v>
      </c>
      <c r="C1388" s="28"/>
      <c r="D1388" s="22"/>
      <c r="E1388" s="22" t="s">
        <v>119</v>
      </c>
      <c r="F1388" s="71" t="s">
        <v>775</v>
      </c>
      <c r="G1388" s="41" t="s">
        <v>66</v>
      </c>
      <c r="H1388" s="61">
        <v>45548</v>
      </c>
      <c r="I1388" s="59">
        <v>0.125</v>
      </c>
      <c r="J1388" s="117" t="s">
        <v>14</v>
      </c>
      <c r="K1388" s="22"/>
    </row>
    <row r="1389" spans="2:11" ht="30">
      <c r="B1389" s="22" t="s">
        <v>136</v>
      </c>
      <c r="C1389" s="28">
        <f>IF(B1389&lt;&gt;"",VLOOKUP(B1389,Projetos!E:F,2,0),"")</f>
        <v>25</v>
      </c>
      <c r="D1389" s="22"/>
      <c r="E1389" s="22" t="s">
        <v>40</v>
      </c>
      <c r="F1389" s="71" t="s">
        <v>777</v>
      </c>
      <c r="G1389" s="41" t="s">
        <v>64</v>
      </c>
      <c r="H1389" s="61">
        <v>45548</v>
      </c>
      <c r="I1389" s="59">
        <v>0.27083333333333331</v>
      </c>
      <c r="J1389" s="117" t="s">
        <v>14</v>
      </c>
      <c r="K1389" s="22"/>
    </row>
    <row r="1390" spans="2:11">
      <c r="B1390" s="22" t="s">
        <v>140</v>
      </c>
      <c r="C1390" s="28">
        <f>IF(B1390&lt;&gt;"",VLOOKUP(B1390,Projetos!E:F,2,0),"")</f>
        <v>39</v>
      </c>
      <c r="D1390" s="22"/>
      <c r="E1390" s="22" t="s">
        <v>16</v>
      </c>
      <c r="F1390" s="71" t="s">
        <v>778</v>
      </c>
      <c r="G1390" s="41" t="s">
        <v>64</v>
      </c>
      <c r="H1390" s="61">
        <v>45548</v>
      </c>
      <c r="I1390" s="59">
        <v>6.25E-2</v>
      </c>
      <c r="J1390" s="117" t="s">
        <v>14</v>
      </c>
      <c r="K1390" s="22"/>
    </row>
    <row r="1391" spans="2:11">
      <c r="B1391" s="22" t="s">
        <v>156</v>
      </c>
      <c r="C1391" s="28">
        <f>IF(B1391&lt;&gt;"",VLOOKUP(B1391,Projetos!E:F,2,0),"")</f>
        <v>3</v>
      </c>
      <c r="D1391" s="22"/>
      <c r="E1391" s="22" t="s">
        <v>40</v>
      </c>
      <c r="F1391" s="71" t="s">
        <v>779</v>
      </c>
      <c r="G1391" s="41" t="s">
        <v>525</v>
      </c>
      <c r="H1391" s="61">
        <v>45548</v>
      </c>
      <c r="I1391" s="59">
        <v>4.1666666666666664E-2</v>
      </c>
      <c r="J1391" s="117" t="s">
        <v>14</v>
      </c>
      <c r="K1391" s="22"/>
    </row>
    <row r="1392" spans="2:11">
      <c r="B1392" s="22" t="s">
        <v>643</v>
      </c>
      <c r="C1392" s="28">
        <f>IF(B1392&lt;&gt;"",VLOOKUP(B1392,Projetos!E:F,2,0),"")</f>
        <v>52</v>
      </c>
      <c r="D1392" s="22"/>
      <c r="E1392" s="22" t="s">
        <v>23</v>
      </c>
      <c r="F1392" s="71" t="s">
        <v>780</v>
      </c>
      <c r="G1392" s="41" t="s">
        <v>525</v>
      </c>
      <c r="H1392" s="61">
        <v>45548</v>
      </c>
      <c r="I1392" s="59">
        <v>0.16666666666666666</v>
      </c>
      <c r="J1392" s="117" t="s">
        <v>14</v>
      </c>
      <c r="K1392" s="22"/>
    </row>
    <row r="1393" spans="2:11">
      <c r="B1393" s="22" t="s">
        <v>192</v>
      </c>
      <c r="C1393" s="28">
        <f>IF(B1393&lt;&gt;"",VLOOKUP(B1393,Projetos!E:F,2,0),"")</f>
        <v>32</v>
      </c>
      <c r="D1393" s="22"/>
      <c r="E1393" s="22" t="s">
        <v>193</v>
      </c>
      <c r="F1393" s="71" t="s">
        <v>781</v>
      </c>
      <c r="G1393" s="41" t="s">
        <v>525</v>
      </c>
      <c r="H1393" s="61">
        <v>45548</v>
      </c>
      <c r="I1393" s="59">
        <v>4.1666666666666664E-2</v>
      </c>
      <c r="J1393" s="117" t="s">
        <v>14</v>
      </c>
      <c r="K1393" s="22"/>
    </row>
    <row r="1394" spans="2:11">
      <c r="B1394" s="22" t="s">
        <v>766</v>
      </c>
      <c r="C1394" s="28">
        <f>IF(B1394&lt;&gt;"",VLOOKUP(B1394,Projetos!E:F,2,0),"")</f>
        <v>20</v>
      </c>
      <c r="D1394" s="22"/>
      <c r="E1394" s="22" t="s">
        <v>26</v>
      </c>
      <c r="F1394" s="71" t="s">
        <v>782</v>
      </c>
      <c r="G1394" s="41" t="s">
        <v>34</v>
      </c>
      <c r="H1394" s="61">
        <v>45551</v>
      </c>
      <c r="I1394" s="59">
        <v>4.1666666666666664E-2</v>
      </c>
      <c r="J1394" s="117" t="s">
        <v>14</v>
      </c>
      <c r="K1394" s="22"/>
    </row>
    <row r="1395" spans="2:11">
      <c r="B1395" s="22" t="s">
        <v>766</v>
      </c>
      <c r="C1395" s="28">
        <f>IF(B1395&lt;&gt;"",VLOOKUP(B1395,Projetos!E:F,2,0),"")</f>
        <v>20</v>
      </c>
      <c r="D1395" s="22"/>
      <c r="E1395" s="22" t="s">
        <v>31</v>
      </c>
      <c r="F1395" s="71" t="s">
        <v>783</v>
      </c>
      <c r="G1395" s="41" t="s">
        <v>34</v>
      </c>
      <c r="H1395" s="61">
        <v>45551</v>
      </c>
      <c r="I1395" s="59">
        <v>0.16666666666666666</v>
      </c>
      <c r="J1395" s="117" t="s">
        <v>14</v>
      </c>
      <c r="K1395" s="22"/>
    </row>
    <row r="1396" spans="2:11" ht="30">
      <c r="B1396" s="22" t="s">
        <v>138</v>
      </c>
      <c r="C1396" s="28">
        <f>IF(B1396&lt;&gt;"",VLOOKUP(B1396,Projetos!E:F,2,0),"")</f>
        <v>30</v>
      </c>
      <c r="D1396" s="22"/>
      <c r="E1396" s="22" t="s">
        <v>26</v>
      </c>
      <c r="F1396" s="71" t="s">
        <v>784</v>
      </c>
      <c r="G1396" s="41" t="s">
        <v>34</v>
      </c>
      <c r="H1396" s="61">
        <v>45551</v>
      </c>
      <c r="I1396" s="59">
        <v>0.125</v>
      </c>
      <c r="J1396" s="117" t="s">
        <v>14</v>
      </c>
      <c r="K1396" s="22"/>
    </row>
    <row r="1397" spans="2:11">
      <c r="B1397" s="22" t="s">
        <v>156</v>
      </c>
      <c r="C1397" s="28">
        <f>IF(B1397&lt;&gt;"",VLOOKUP(B1397,Projetos!E:F,2,0),"")</f>
        <v>3</v>
      </c>
      <c r="D1397" s="22"/>
      <c r="E1397" s="22" t="s">
        <v>40</v>
      </c>
      <c r="F1397" s="71" t="s">
        <v>785</v>
      </c>
      <c r="G1397" s="41" t="s">
        <v>66</v>
      </c>
      <c r="H1397" s="61">
        <v>45551</v>
      </c>
      <c r="I1397" s="59">
        <v>0.25</v>
      </c>
      <c r="J1397" s="117" t="s">
        <v>14</v>
      </c>
      <c r="K1397" s="22"/>
    </row>
    <row r="1398" spans="2:11">
      <c r="B1398" s="22" t="s">
        <v>192</v>
      </c>
      <c r="C1398" s="28">
        <f>IF(B1398&lt;&gt;"",VLOOKUP(B1398,Projetos!E:F,2,0),"")</f>
        <v>32</v>
      </c>
      <c r="D1398" s="22"/>
      <c r="E1398" s="22" t="s">
        <v>193</v>
      </c>
      <c r="F1398" s="71" t="s">
        <v>781</v>
      </c>
      <c r="G1398" s="41" t="s">
        <v>525</v>
      </c>
      <c r="H1398" s="61">
        <v>45551</v>
      </c>
      <c r="I1398" s="59">
        <v>2.0833333333333332E-2</v>
      </c>
      <c r="J1398" s="117" t="s">
        <v>14</v>
      </c>
      <c r="K1398" s="22"/>
    </row>
    <row r="1399" spans="2:11">
      <c r="B1399" s="22" t="s">
        <v>643</v>
      </c>
      <c r="C1399" s="28">
        <f>IF(B1399&lt;&gt;"",VLOOKUP(B1399,Projetos!E:F,2,0),"")</f>
        <v>52</v>
      </c>
      <c r="D1399" s="22"/>
      <c r="E1399" s="22" t="s">
        <v>23</v>
      </c>
      <c r="F1399" s="71" t="s">
        <v>786</v>
      </c>
      <c r="G1399" s="41" t="s">
        <v>525</v>
      </c>
      <c r="H1399" s="61">
        <v>45551</v>
      </c>
      <c r="I1399" s="59">
        <v>0.22916666666666666</v>
      </c>
      <c r="J1399" s="117" t="s">
        <v>14</v>
      </c>
      <c r="K1399" s="22"/>
    </row>
    <row r="1400" spans="2:11">
      <c r="B1400" s="22" t="s">
        <v>140</v>
      </c>
      <c r="C1400" s="28">
        <f>IF(B1400&lt;&gt;"",VLOOKUP(B1400,Projetos!E:F,2,0),"")</f>
        <v>39</v>
      </c>
      <c r="D1400" s="22"/>
      <c r="E1400" s="22" t="s">
        <v>40</v>
      </c>
      <c r="F1400" s="71" t="s">
        <v>787</v>
      </c>
      <c r="G1400" s="41" t="s">
        <v>528</v>
      </c>
      <c r="H1400" s="61">
        <v>45551</v>
      </c>
      <c r="I1400" s="59">
        <v>0.20833333333333334</v>
      </c>
      <c r="J1400" s="117" t="s">
        <v>14</v>
      </c>
      <c r="K1400" s="22"/>
    </row>
    <row r="1401" spans="2:11">
      <c r="B1401" s="22" t="s">
        <v>788</v>
      </c>
      <c r="C1401" s="28">
        <f>IF(B1401&lt;&gt;"",VLOOKUP(B1401,Projetos!E:F,2,0),"")</f>
        <v>55</v>
      </c>
      <c r="D1401" s="22"/>
      <c r="E1401" s="22" t="s">
        <v>21</v>
      </c>
      <c r="F1401" s="71" t="s">
        <v>789</v>
      </c>
      <c r="G1401" s="41" t="s">
        <v>19</v>
      </c>
      <c r="H1401" s="61">
        <v>45551</v>
      </c>
      <c r="I1401" s="59">
        <v>0.16666666666666666</v>
      </c>
      <c r="J1401" s="117" t="s">
        <v>14</v>
      </c>
      <c r="K1401" s="22"/>
    </row>
    <row r="1402" spans="2:11">
      <c r="B1402" s="22" t="s">
        <v>766</v>
      </c>
      <c r="C1402" s="28">
        <f>IF(B1402&lt;&gt;"",VLOOKUP(B1402,Projetos!E:F,2,0),"")</f>
        <v>20</v>
      </c>
      <c r="D1402" s="22"/>
      <c r="E1402" s="22" t="s">
        <v>21</v>
      </c>
      <c r="F1402" s="71" t="s">
        <v>790</v>
      </c>
      <c r="G1402" s="41" t="s">
        <v>20</v>
      </c>
      <c r="H1402" s="61">
        <v>45551</v>
      </c>
      <c r="I1402" s="59">
        <v>0.16666666666666666</v>
      </c>
      <c r="J1402" s="117" t="s">
        <v>14</v>
      </c>
      <c r="K1402" s="22"/>
    </row>
    <row r="1403" spans="2:11">
      <c r="B1403" s="22" t="s">
        <v>138</v>
      </c>
      <c r="C1403" s="28">
        <f>IF(B1403&lt;&gt;"",VLOOKUP(B1403,Projetos!E:F,2,0),"")</f>
        <v>30</v>
      </c>
      <c r="D1403" s="22"/>
      <c r="E1403" s="22" t="s">
        <v>16</v>
      </c>
      <c r="F1403" s="71" t="s">
        <v>791</v>
      </c>
      <c r="G1403" s="41" t="s">
        <v>20</v>
      </c>
      <c r="H1403" s="61">
        <v>45551</v>
      </c>
      <c r="I1403" s="59">
        <v>0.125</v>
      </c>
      <c r="J1403" s="117" t="s">
        <v>14</v>
      </c>
      <c r="K1403" s="22"/>
    </row>
    <row r="1404" spans="2:11">
      <c r="B1404" s="22" t="s">
        <v>788</v>
      </c>
      <c r="C1404" s="28">
        <f>IF(B1404&lt;&gt;"",VLOOKUP(B1404,Projetos!E:F,2,0),"")</f>
        <v>55</v>
      </c>
      <c r="D1404" s="22"/>
      <c r="E1404" s="22" t="s">
        <v>65</v>
      </c>
      <c r="F1404" s="71" t="s">
        <v>792</v>
      </c>
      <c r="G1404" s="41" t="s">
        <v>20</v>
      </c>
      <c r="H1404" s="61">
        <v>45552</v>
      </c>
      <c r="I1404" s="59">
        <v>0.16666666666666666</v>
      </c>
      <c r="J1404" s="117" t="s">
        <v>14</v>
      </c>
      <c r="K1404" s="22"/>
    </row>
    <row r="1405" spans="2:11" ht="30">
      <c r="B1405" s="22" t="s">
        <v>138</v>
      </c>
      <c r="C1405" s="28">
        <f>IF(B1405&lt;&gt;"",VLOOKUP(B1405,Projetos!E:F,2,0),"")</f>
        <v>30</v>
      </c>
      <c r="D1405" s="22"/>
      <c r="E1405" s="22" t="s">
        <v>26</v>
      </c>
      <c r="F1405" s="71" t="s">
        <v>793</v>
      </c>
      <c r="G1405" s="41" t="s">
        <v>34</v>
      </c>
      <c r="H1405" s="61">
        <v>45552</v>
      </c>
      <c r="I1405" s="59">
        <v>8.3333333333333329E-2</v>
      </c>
      <c r="J1405" s="117" t="s">
        <v>14</v>
      </c>
      <c r="K1405" s="22"/>
    </row>
    <row r="1406" spans="2:11">
      <c r="B1406" s="22" t="s">
        <v>156</v>
      </c>
      <c r="C1406" s="28">
        <f>IF(B1406&lt;&gt;"",VLOOKUP(B1406,Projetos!E:F,2,0),"")</f>
        <v>3</v>
      </c>
      <c r="D1406" s="22"/>
      <c r="E1406" s="22" t="s">
        <v>40</v>
      </c>
      <c r="F1406" s="71" t="s">
        <v>785</v>
      </c>
      <c r="G1406" s="41" t="s">
        <v>66</v>
      </c>
      <c r="H1406" s="61">
        <v>45552</v>
      </c>
      <c r="I1406" s="59">
        <v>0.1875</v>
      </c>
      <c r="J1406" s="117" t="s">
        <v>14</v>
      </c>
      <c r="K1406" s="22"/>
    </row>
    <row r="1407" spans="2:11">
      <c r="B1407" s="22" t="s">
        <v>788</v>
      </c>
      <c r="C1407" s="28">
        <f>IF(B1407&lt;&gt;"",VLOOKUP(B1407,Projetos!E:F,2,0),"")</f>
        <v>55</v>
      </c>
      <c r="D1407" s="22"/>
      <c r="E1407" s="22" t="s">
        <v>16</v>
      </c>
      <c r="F1407" s="71" t="s">
        <v>794</v>
      </c>
      <c r="G1407" s="41" t="s">
        <v>66</v>
      </c>
      <c r="H1407" s="61">
        <v>45552</v>
      </c>
      <c r="I1407" s="59">
        <v>6.25E-2</v>
      </c>
      <c r="J1407" s="117" t="s">
        <v>14</v>
      </c>
      <c r="K1407" s="22"/>
    </row>
    <row r="1408" spans="2:11" ht="30">
      <c r="B1408" s="22" t="s">
        <v>788</v>
      </c>
      <c r="C1408" s="28">
        <f>IF(B1408&lt;&gt;"",VLOOKUP(B1408,Projetos!E:F,2,0),"")</f>
        <v>55</v>
      </c>
      <c r="D1408" s="22"/>
      <c r="E1408" s="22" t="s">
        <v>16</v>
      </c>
      <c r="F1408" s="71" t="s">
        <v>795</v>
      </c>
      <c r="G1408" s="41" t="s">
        <v>34</v>
      </c>
      <c r="H1408" s="61">
        <v>45552</v>
      </c>
      <c r="I1408" s="59">
        <v>6.25E-2</v>
      </c>
      <c r="J1408" s="117" t="s">
        <v>14</v>
      </c>
      <c r="K1408" s="22"/>
    </row>
    <row r="1409" spans="2:11" ht="45">
      <c r="B1409" s="22" t="s">
        <v>294</v>
      </c>
      <c r="C1409" s="28">
        <f>IF(B1409&lt;&gt;"",VLOOKUP(B1409,Projetos!E:F,2,0),"")</f>
        <v>26</v>
      </c>
      <c r="D1409" s="22"/>
      <c r="E1409" s="22" t="s">
        <v>16</v>
      </c>
      <c r="F1409" s="71" t="s">
        <v>796</v>
      </c>
      <c r="G1409" s="41" t="s">
        <v>34</v>
      </c>
      <c r="H1409" s="61">
        <v>45552</v>
      </c>
      <c r="I1409" s="59">
        <v>2.0833333333333332E-2</v>
      </c>
      <c r="J1409" s="117" t="s">
        <v>14</v>
      </c>
      <c r="K1409" s="22"/>
    </row>
    <row r="1410" spans="2:11" ht="30">
      <c r="B1410" s="22" t="s">
        <v>138</v>
      </c>
      <c r="C1410" s="28">
        <f>IF(B1410&lt;&gt;"",VLOOKUP(B1410,Projetos!E:F,2,0),"")</f>
        <v>30</v>
      </c>
      <c r="D1410" s="22"/>
      <c r="E1410" s="22" t="s">
        <v>26</v>
      </c>
      <c r="F1410" s="71" t="s">
        <v>797</v>
      </c>
      <c r="G1410" s="41" t="s">
        <v>34</v>
      </c>
      <c r="H1410" s="61">
        <v>45552</v>
      </c>
      <c r="I1410" s="59">
        <v>4.1666666666666664E-2</v>
      </c>
      <c r="J1410" s="117" t="s">
        <v>14</v>
      </c>
      <c r="K1410" s="22"/>
    </row>
    <row r="1411" spans="2:11" ht="45">
      <c r="B1411" s="22" t="s">
        <v>788</v>
      </c>
      <c r="C1411" s="28">
        <f>IF(B1411&lt;&gt;"",VLOOKUP(B1411,Projetos!E:F,2,0),"")</f>
        <v>55</v>
      </c>
      <c r="D1411" s="22"/>
      <c r="E1411" s="22" t="s">
        <v>16</v>
      </c>
      <c r="F1411" s="71" t="s">
        <v>796</v>
      </c>
      <c r="G1411" s="41" t="s">
        <v>528</v>
      </c>
      <c r="H1411" s="61">
        <v>45552</v>
      </c>
      <c r="I1411" s="59">
        <v>6.25E-2</v>
      </c>
      <c r="J1411" s="117" t="s">
        <v>14</v>
      </c>
      <c r="K1411" s="22"/>
    </row>
    <row r="1412" spans="2:11">
      <c r="B1412" s="22" t="s">
        <v>140</v>
      </c>
      <c r="C1412" s="28">
        <f>IF(B1412&lt;&gt;"",VLOOKUP(B1412,Projetos!E:F,2,0),"")</f>
        <v>39</v>
      </c>
      <c r="D1412" s="22"/>
      <c r="E1412" s="22" t="s">
        <v>40</v>
      </c>
      <c r="F1412" s="71" t="s">
        <v>728</v>
      </c>
      <c r="G1412" s="41" t="s">
        <v>528</v>
      </c>
      <c r="H1412" s="61">
        <v>45552</v>
      </c>
      <c r="I1412" s="59">
        <v>4.1666666666666664E-2</v>
      </c>
      <c r="J1412" s="117" t="s">
        <v>14</v>
      </c>
      <c r="K1412" s="22"/>
    </row>
    <row r="1413" spans="2:11">
      <c r="B1413" s="22" t="s">
        <v>156</v>
      </c>
      <c r="C1413" s="28">
        <f>IF(B1413&lt;&gt;"",VLOOKUP(B1413,Projetos!E:F,2,0),"")</f>
        <v>3</v>
      </c>
      <c r="D1413" s="22"/>
      <c r="E1413" s="22" t="s">
        <v>49</v>
      </c>
      <c r="F1413" s="71" t="s">
        <v>798</v>
      </c>
      <c r="G1413" s="41" t="s">
        <v>528</v>
      </c>
      <c r="H1413" s="61">
        <v>45552</v>
      </c>
      <c r="I1413" s="59">
        <v>0.10416666666666667</v>
      </c>
      <c r="J1413" s="117" t="s">
        <v>14</v>
      </c>
      <c r="K1413" s="22"/>
    </row>
    <row r="1414" spans="2:11">
      <c r="B1414" s="22" t="s">
        <v>138</v>
      </c>
      <c r="C1414" s="28">
        <f>IF(B1414&lt;&gt;"",VLOOKUP(B1414,Projetos!E:F,2,0),"")</f>
        <v>30</v>
      </c>
      <c r="D1414" s="22"/>
      <c r="E1414" s="22" t="s">
        <v>49</v>
      </c>
      <c r="F1414" s="71" t="s">
        <v>774</v>
      </c>
      <c r="G1414" s="41" t="s">
        <v>64</v>
      </c>
      <c r="H1414" s="61">
        <v>45551</v>
      </c>
      <c r="I1414" s="59">
        <v>0.16666666666666666</v>
      </c>
      <c r="J1414" s="117" t="s">
        <v>14</v>
      </c>
      <c r="K1414" s="22"/>
    </row>
    <row r="1415" spans="2:11">
      <c r="B1415" s="22" t="s">
        <v>138</v>
      </c>
      <c r="C1415" s="28">
        <f>IF(B1415&lt;&gt;"",VLOOKUP(B1415,Projetos!E:F,2,0),"")</f>
        <v>30</v>
      </c>
      <c r="D1415" s="22"/>
      <c r="E1415" s="22" t="s">
        <v>158</v>
      </c>
      <c r="F1415" s="71" t="s">
        <v>799</v>
      </c>
      <c r="G1415" s="41" t="s">
        <v>64</v>
      </c>
      <c r="H1415" s="61">
        <v>45551</v>
      </c>
      <c r="I1415" s="59">
        <v>8.3333333333333329E-2</v>
      </c>
      <c r="J1415" s="117" t="s">
        <v>14</v>
      </c>
      <c r="K1415" s="22"/>
    </row>
    <row r="1416" spans="2:11" ht="30">
      <c r="B1416" s="22" t="s">
        <v>138</v>
      </c>
      <c r="C1416" s="28">
        <f>IF(B1416&lt;&gt;"",VLOOKUP(B1416,Projetos!E:F,2,0),"")</f>
        <v>30</v>
      </c>
      <c r="D1416" s="22"/>
      <c r="E1416" s="22" t="s">
        <v>25</v>
      </c>
      <c r="F1416" s="71" t="s">
        <v>800</v>
      </c>
      <c r="G1416" s="41" t="s">
        <v>64</v>
      </c>
      <c r="H1416" s="61">
        <v>45551</v>
      </c>
      <c r="I1416" s="59">
        <v>2.0833333333333332E-2</v>
      </c>
      <c r="J1416" s="117" t="s">
        <v>14</v>
      </c>
      <c r="K1416" s="22"/>
    </row>
    <row r="1417" spans="2:11" ht="30">
      <c r="B1417" s="22" t="s">
        <v>138</v>
      </c>
      <c r="C1417" s="28">
        <f>IF(B1417&lt;&gt;"",VLOOKUP(B1417,Projetos!E:F,2,0),"")</f>
        <v>30</v>
      </c>
      <c r="D1417" s="22"/>
      <c r="E1417" s="22" t="s">
        <v>25</v>
      </c>
      <c r="F1417" s="71" t="s">
        <v>801</v>
      </c>
      <c r="G1417" s="41" t="s">
        <v>64</v>
      </c>
      <c r="H1417" s="61">
        <v>45551</v>
      </c>
      <c r="I1417" s="59">
        <v>6.25E-2</v>
      </c>
      <c r="J1417" s="117" t="s">
        <v>14</v>
      </c>
      <c r="K1417" s="22"/>
    </row>
    <row r="1418" spans="2:11" ht="30">
      <c r="B1418" s="22" t="s">
        <v>788</v>
      </c>
      <c r="C1418" s="28">
        <f>IF(B1418&lt;&gt;"",VLOOKUP(B1418,Projetos!E:F,2,0),"")</f>
        <v>55</v>
      </c>
      <c r="D1418" s="22"/>
      <c r="E1418" s="22" t="s">
        <v>16</v>
      </c>
      <c r="F1418" s="71" t="s">
        <v>795</v>
      </c>
      <c r="G1418" s="41" t="s">
        <v>64</v>
      </c>
      <c r="H1418" s="61">
        <v>45552</v>
      </c>
      <c r="I1418" s="59">
        <v>6.25E-2</v>
      </c>
      <c r="J1418" s="117" t="s">
        <v>14</v>
      </c>
      <c r="K1418" s="22"/>
    </row>
    <row r="1419" spans="2:11">
      <c r="B1419" s="22" t="s">
        <v>138</v>
      </c>
      <c r="C1419" s="28">
        <f>IF(B1419&lt;&gt;"",VLOOKUP(B1419,Projetos!E:F,2,0),"")</f>
        <v>30</v>
      </c>
      <c r="D1419" s="22"/>
      <c r="E1419" s="22" t="s">
        <v>158</v>
      </c>
      <c r="F1419" s="71" t="s">
        <v>802</v>
      </c>
      <c r="G1419" s="41" t="s">
        <v>64</v>
      </c>
      <c r="H1419" s="61">
        <v>45552</v>
      </c>
      <c r="I1419" s="59">
        <v>0.16666666666666666</v>
      </c>
      <c r="J1419" s="117" t="s">
        <v>14</v>
      </c>
      <c r="K1419" s="22"/>
    </row>
    <row r="1420" spans="2:11">
      <c r="B1420" s="22" t="s">
        <v>138</v>
      </c>
      <c r="C1420" s="28">
        <f>IF(B1420&lt;&gt;"",VLOOKUP(B1420,Projetos!E:F,2,0),"")</f>
        <v>30</v>
      </c>
      <c r="D1420" s="22"/>
      <c r="E1420" s="22" t="s">
        <v>158</v>
      </c>
      <c r="F1420" s="71" t="s">
        <v>803</v>
      </c>
      <c r="G1420" s="41" t="s">
        <v>64</v>
      </c>
      <c r="H1420" s="61">
        <v>45552</v>
      </c>
      <c r="I1420" s="59">
        <v>0.10416666666666667</v>
      </c>
      <c r="J1420" s="117" t="s">
        <v>14</v>
      </c>
      <c r="K1420" s="22"/>
    </row>
    <row r="1421" spans="2:11">
      <c r="B1421" s="22" t="s">
        <v>140</v>
      </c>
      <c r="C1421" s="28">
        <f>IF(B1421&lt;&gt;"",VLOOKUP(B1421,Projetos!E:F,2,0),"")</f>
        <v>39</v>
      </c>
      <c r="D1421" s="22"/>
      <c r="E1421" s="22" t="s">
        <v>144</v>
      </c>
      <c r="F1421" s="71" t="s">
        <v>804</v>
      </c>
      <c r="G1421" s="41" t="s">
        <v>525</v>
      </c>
      <c r="H1421" s="61">
        <v>45552</v>
      </c>
      <c r="I1421" s="59">
        <v>0.1875</v>
      </c>
      <c r="J1421" s="117" t="s">
        <v>14</v>
      </c>
      <c r="K1421" s="22"/>
    </row>
    <row r="1422" spans="2:11" ht="30">
      <c r="B1422" s="22" t="s">
        <v>788</v>
      </c>
      <c r="C1422" s="28">
        <f>IF(B1422&lt;&gt;"",VLOOKUP(B1422,Projetos!E:F,2,0),"")</f>
        <v>55</v>
      </c>
      <c r="D1422" s="22"/>
      <c r="E1422" s="22" t="s">
        <v>16</v>
      </c>
      <c r="F1422" s="71" t="s">
        <v>795</v>
      </c>
      <c r="G1422" s="41" t="s">
        <v>525</v>
      </c>
      <c r="H1422" s="61">
        <v>45552</v>
      </c>
      <c r="I1422" s="59">
        <v>6.25E-2</v>
      </c>
      <c r="J1422" s="117" t="s">
        <v>14</v>
      </c>
      <c r="K1422" s="22"/>
    </row>
    <row r="1423" spans="2:11">
      <c r="B1423" s="22" t="s">
        <v>488</v>
      </c>
      <c r="C1423" s="28">
        <f>IF(B1423&lt;&gt;"",VLOOKUP(B1423,Projetos!E:F,2,0),"")</f>
        <v>50</v>
      </c>
      <c r="D1423" s="22"/>
      <c r="E1423" s="22" t="s">
        <v>23</v>
      </c>
      <c r="F1423" s="22" t="s">
        <v>805</v>
      </c>
      <c r="G1423" s="41" t="s">
        <v>20</v>
      </c>
      <c r="H1423" s="61">
        <v>45553</v>
      </c>
      <c r="I1423" s="59">
        <v>0.3125</v>
      </c>
      <c r="J1423" s="117" t="s">
        <v>14</v>
      </c>
      <c r="K1423" s="22"/>
    </row>
    <row r="1424" spans="2:11">
      <c r="B1424" s="22" t="s">
        <v>138</v>
      </c>
      <c r="C1424" s="28">
        <f>IF(B1424&lt;&gt;"",VLOOKUP(B1424,Projetos!E:F,2,0),"")</f>
        <v>30</v>
      </c>
      <c r="D1424" s="22"/>
      <c r="E1424" s="22" t="s">
        <v>158</v>
      </c>
      <c r="F1424" s="71" t="s">
        <v>806</v>
      </c>
      <c r="G1424" s="41" t="s">
        <v>66</v>
      </c>
      <c r="H1424" s="61">
        <v>45553</v>
      </c>
      <c r="I1424" s="59">
        <v>4.1666666666666664E-2</v>
      </c>
      <c r="J1424" s="117" t="s">
        <v>14</v>
      </c>
      <c r="K1424" s="22"/>
    </row>
    <row r="1425" spans="2:11">
      <c r="B1425" s="22" t="s">
        <v>156</v>
      </c>
      <c r="C1425" s="28">
        <f>IF(B1425&lt;&gt;"",VLOOKUP(B1425,Projetos!E:F,2,0),"")</f>
        <v>3</v>
      </c>
      <c r="D1425" s="22"/>
      <c r="E1425" s="22" t="s">
        <v>40</v>
      </c>
      <c r="F1425" s="71" t="s">
        <v>807</v>
      </c>
      <c r="G1425" s="41" t="s">
        <v>66</v>
      </c>
      <c r="H1425" s="61">
        <v>45553</v>
      </c>
      <c r="I1425" s="59">
        <v>0.20833333333333334</v>
      </c>
      <c r="J1425" s="117" t="s">
        <v>14</v>
      </c>
      <c r="K1425" s="22"/>
    </row>
    <row r="1426" spans="2:11" ht="30">
      <c r="B1426" s="22" t="s">
        <v>138</v>
      </c>
      <c r="C1426" s="28">
        <f>IF(B1426&lt;&gt;"",VLOOKUP(B1426,Projetos!E:F,2,0),"")</f>
        <v>30</v>
      </c>
      <c r="D1426" s="22"/>
      <c r="E1426" s="22" t="s">
        <v>26</v>
      </c>
      <c r="F1426" s="71" t="s">
        <v>808</v>
      </c>
      <c r="G1426" s="41" t="s">
        <v>34</v>
      </c>
      <c r="H1426" s="61">
        <v>45553</v>
      </c>
      <c r="I1426" s="59">
        <v>4.1666666666666664E-2</v>
      </c>
      <c r="J1426" s="117" t="s">
        <v>14</v>
      </c>
      <c r="K1426" s="22"/>
    </row>
    <row r="1427" spans="2:11">
      <c r="B1427" s="22" t="s">
        <v>294</v>
      </c>
      <c r="C1427" s="28">
        <f>IF(B1427&lt;&gt;"",VLOOKUP(B1427,Projetos!E:F,2,0),"")</f>
        <v>26</v>
      </c>
      <c r="D1427" s="22"/>
      <c r="E1427" s="22" t="s">
        <v>31</v>
      </c>
      <c r="F1427" s="71" t="s">
        <v>809</v>
      </c>
      <c r="G1427" s="41" t="s">
        <v>34</v>
      </c>
      <c r="H1427" s="61">
        <v>45553</v>
      </c>
      <c r="I1427" s="59">
        <v>0.125</v>
      </c>
      <c r="J1427" s="117" t="s">
        <v>14</v>
      </c>
      <c r="K1427" s="22"/>
    </row>
    <row r="1428" spans="2:11">
      <c r="B1428" s="22" t="s">
        <v>192</v>
      </c>
      <c r="C1428" s="28">
        <f>IF(B1428&lt;&gt;"",VLOOKUP(B1428,Projetos!E:F,2,0),"")</f>
        <v>32</v>
      </c>
      <c r="D1428" s="22"/>
      <c r="E1428" s="22" t="s">
        <v>193</v>
      </c>
      <c r="F1428" s="71" t="s">
        <v>810</v>
      </c>
      <c r="G1428" s="41" t="s">
        <v>525</v>
      </c>
      <c r="H1428" s="61">
        <v>45553</v>
      </c>
      <c r="I1428" s="59">
        <v>4.1666666666666664E-2</v>
      </c>
      <c r="J1428" s="117" t="s">
        <v>14</v>
      </c>
      <c r="K1428" s="22"/>
    </row>
    <row r="1429" spans="2:11">
      <c r="B1429" s="22" t="s">
        <v>140</v>
      </c>
      <c r="C1429" s="28">
        <f>IF(B1429&lt;&gt;"",VLOOKUP(B1429,Projetos!E:F,2,0),"")</f>
        <v>39</v>
      </c>
      <c r="D1429" s="22"/>
      <c r="E1429" s="22" t="s">
        <v>144</v>
      </c>
      <c r="F1429" s="71" t="s">
        <v>804</v>
      </c>
      <c r="G1429" s="41" t="s">
        <v>525</v>
      </c>
      <c r="H1429" s="61">
        <v>45553</v>
      </c>
      <c r="I1429" s="59">
        <v>8.3333333333333329E-2</v>
      </c>
      <c r="J1429" s="117" t="s">
        <v>14</v>
      </c>
      <c r="K1429" s="22"/>
    </row>
    <row r="1430" spans="2:11">
      <c r="B1430" s="22" t="s">
        <v>156</v>
      </c>
      <c r="C1430" s="28">
        <f>IF(B1430&lt;&gt;"",VLOOKUP(B1430,Projetos!E:F,2,0),"")</f>
        <v>3</v>
      </c>
      <c r="D1430" s="22"/>
      <c r="E1430" s="22" t="s">
        <v>49</v>
      </c>
      <c r="F1430" s="71" t="s">
        <v>811</v>
      </c>
      <c r="G1430" s="41" t="s">
        <v>528</v>
      </c>
      <c r="H1430" s="61">
        <v>45553</v>
      </c>
      <c r="I1430" s="59">
        <v>0.20833333333333334</v>
      </c>
      <c r="J1430" s="117" t="s">
        <v>14</v>
      </c>
      <c r="K1430" s="22"/>
    </row>
    <row r="1431" spans="2:11">
      <c r="B1431" s="22" t="s">
        <v>643</v>
      </c>
      <c r="C1431" s="28">
        <f>IF(B1431&lt;&gt;"",VLOOKUP(B1431,Projetos!E:F,2,0),"")</f>
        <v>52</v>
      </c>
      <c r="D1431" s="22"/>
      <c r="E1431" s="22" t="s">
        <v>23</v>
      </c>
      <c r="F1431" s="71" t="s">
        <v>812</v>
      </c>
      <c r="G1431" s="41" t="s">
        <v>525</v>
      </c>
      <c r="H1431" s="61">
        <v>45553</v>
      </c>
      <c r="I1431" s="59">
        <v>0.125</v>
      </c>
      <c r="J1431" s="117" t="s">
        <v>14</v>
      </c>
      <c r="K1431" s="22"/>
    </row>
    <row r="1432" spans="2:11">
      <c r="B1432" s="22" t="s">
        <v>294</v>
      </c>
      <c r="C1432" s="28">
        <f>IF(B1432&lt;&gt;"",VLOOKUP(B1432,Projetos!E:F,2,0),"")</f>
        <v>26</v>
      </c>
      <c r="D1432" s="22"/>
      <c r="E1432" s="22" t="s">
        <v>158</v>
      </c>
      <c r="F1432" s="71" t="s">
        <v>813</v>
      </c>
      <c r="G1432" s="41" t="s">
        <v>19</v>
      </c>
      <c r="H1432" s="61">
        <v>45552</v>
      </c>
      <c r="I1432" s="59">
        <v>0.25</v>
      </c>
      <c r="J1432" s="117" t="s">
        <v>14</v>
      </c>
      <c r="K1432" s="22"/>
    </row>
    <row r="1433" spans="2:11">
      <c r="B1433" s="22" t="s">
        <v>294</v>
      </c>
      <c r="C1433" s="28">
        <f>IF(B1433&lt;&gt;"",VLOOKUP(B1433,Projetos!E:F,2,0),"")</f>
        <v>26</v>
      </c>
      <c r="D1433" s="22"/>
      <c r="E1433" s="22" t="s">
        <v>158</v>
      </c>
      <c r="F1433" s="71" t="s">
        <v>813</v>
      </c>
      <c r="G1433" s="41" t="s">
        <v>19</v>
      </c>
      <c r="H1433" s="61">
        <v>45553</v>
      </c>
      <c r="I1433" s="59">
        <v>0.25</v>
      </c>
      <c r="J1433" s="117" t="s">
        <v>14</v>
      </c>
      <c r="K1433" s="22"/>
    </row>
    <row r="1434" spans="2:11">
      <c r="B1434" s="22" t="s">
        <v>788</v>
      </c>
      <c r="C1434" s="28">
        <f>IF(B1434&lt;&gt;"",VLOOKUP(B1434,Projetos!E:F,2,0),"")</f>
        <v>55</v>
      </c>
      <c r="D1434" s="22"/>
      <c r="E1434" s="22" t="s">
        <v>21</v>
      </c>
      <c r="F1434" s="71" t="s">
        <v>814</v>
      </c>
      <c r="G1434" s="41" t="s">
        <v>19</v>
      </c>
      <c r="H1434" s="61">
        <v>45552</v>
      </c>
      <c r="I1434" s="59">
        <v>8.3333333333333329E-2</v>
      </c>
      <c r="J1434" s="117" t="s">
        <v>14</v>
      </c>
      <c r="K1434" s="22"/>
    </row>
    <row r="1435" spans="2:11">
      <c r="B1435" s="22" t="s">
        <v>138</v>
      </c>
      <c r="C1435" s="28">
        <f>IF(B1435&lt;&gt;"",VLOOKUP(B1435,Projetos!E:F,2,0),"")</f>
        <v>30</v>
      </c>
      <c r="D1435" s="22"/>
      <c r="E1435" s="22" t="s">
        <v>158</v>
      </c>
      <c r="F1435" s="71" t="s">
        <v>815</v>
      </c>
      <c r="G1435" s="41" t="s">
        <v>64</v>
      </c>
      <c r="H1435" s="61">
        <v>45553</v>
      </c>
      <c r="I1435" s="59">
        <v>0.25</v>
      </c>
      <c r="J1435" s="117" t="s">
        <v>14</v>
      </c>
      <c r="K1435" s="22"/>
    </row>
    <row r="1436" spans="2:11">
      <c r="B1436" s="22" t="s">
        <v>138</v>
      </c>
      <c r="C1436" s="28">
        <f>IF(B1436&lt;&gt;"",VLOOKUP(B1436,Projetos!E:F,2,0),"")</f>
        <v>30</v>
      </c>
      <c r="D1436" s="22"/>
      <c r="E1436" s="22" t="s">
        <v>158</v>
      </c>
      <c r="F1436" s="71" t="s">
        <v>816</v>
      </c>
      <c r="G1436" s="41" t="s">
        <v>64</v>
      </c>
      <c r="H1436" s="61">
        <v>45553</v>
      </c>
      <c r="I1436" s="59">
        <v>4.1666666666666664E-2</v>
      </c>
      <c r="J1436" s="117" t="s">
        <v>14</v>
      </c>
      <c r="K1436" s="22"/>
    </row>
    <row r="1437" spans="2:11">
      <c r="B1437" s="22" t="s">
        <v>192</v>
      </c>
      <c r="C1437" s="28">
        <f>IF(B1437&lt;&gt;"",VLOOKUP(B1437,Projetos!E:F,2,0),"")</f>
        <v>32</v>
      </c>
      <c r="D1437" s="22"/>
      <c r="E1437" s="22" t="s">
        <v>193</v>
      </c>
      <c r="F1437" s="71" t="s">
        <v>817</v>
      </c>
      <c r="G1437" s="41" t="s">
        <v>64</v>
      </c>
      <c r="H1437" s="61">
        <v>45553</v>
      </c>
      <c r="I1437" s="59">
        <v>4.1666666666666664E-2</v>
      </c>
      <c r="J1437" s="117" t="s">
        <v>14</v>
      </c>
      <c r="K1437" s="22"/>
    </row>
    <row r="1438" spans="2:11">
      <c r="B1438" s="22" t="s">
        <v>488</v>
      </c>
      <c r="C1438" s="28">
        <f>IF(B1438&lt;&gt;"",VLOOKUP(B1438,Projetos!E:F,2,0),"")</f>
        <v>50</v>
      </c>
      <c r="D1438" s="22"/>
      <c r="E1438" s="22" t="s">
        <v>23</v>
      </c>
      <c r="F1438" s="22" t="s">
        <v>805</v>
      </c>
      <c r="G1438" s="41" t="s">
        <v>20</v>
      </c>
      <c r="H1438" s="61">
        <v>45554</v>
      </c>
      <c r="I1438" s="59">
        <v>0.3125</v>
      </c>
      <c r="J1438" s="117" t="s">
        <v>14</v>
      </c>
      <c r="K1438" s="22"/>
    </row>
    <row r="1439" spans="2:11" ht="30">
      <c r="B1439" s="22" t="s">
        <v>138</v>
      </c>
      <c r="C1439" s="28">
        <f>IF(B1439&lt;&gt;"",VLOOKUP(B1439,Projetos!E:F,2,0),"")</f>
        <v>30</v>
      </c>
      <c r="D1439" s="22"/>
      <c r="E1439" s="22" t="s">
        <v>26</v>
      </c>
      <c r="F1439" s="71" t="s">
        <v>818</v>
      </c>
      <c r="G1439" s="41" t="s">
        <v>34</v>
      </c>
      <c r="H1439" s="61">
        <v>45554</v>
      </c>
      <c r="I1439" s="59">
        <v>0.125</v>
      </c>
      <c r="J1439" s="117" t="s">
        <v>14</v>
      </c>
      <c r="K1439" s="22"/>
    </row>
    <row r="1440" spans="2:11">
      <c r="B1440" s="22" t="s">
        <v>294</v>
      </c>
      <c r="C1440" s="28">
        <f>IF(B1440&lt;&gt;"",VLOOKUP(B1440,Projetos!E:F,2,0),"")</f>
        <v>26</v>
      </c>
      <c r="D1440" s="22"/>
      <c r="E1440" s="22" t="s">
        <v>26</v>
      </c>
      <c r="F1440" s="71" t="s">
        <v>819</v>
      </c>
      <c r="G1440" s="41" t="s">
        <v>34</v>
      </c>
      <c r="H1440" s="61">
        <v>45554</v>
      </c>
      <c r="I1440" s="59">
        <v>4.1666666666666664E-2</v>
      </c>
      <c r="J1440" s="117" t="s">
        <v>14</v>
      </c>
      <c r="K1440" s="22"/>
    </row>
    <row r="1441" spans="2:11">
      <c r="B1441" s="22" t="s">
        <v>156</v>
      </c>
      <c r="C1441" s="28">
        <f>IF(B1441&lt;&gt;"",VLOOKUP(B1441,Projetos!E:F,2,0),"")</f>
        <v>3</v>
      </c>
      <c r="D1441" s="22"/>
      <c r="E1441" s="22" t="s">
        <v>40</v>
      </c>
      <c r="F1441" s="71" t="s">
        <v>785</v>
      </c>
      <c r="G1441" s="41" t="s">
        <v>66</v>
      </c>
      <c r="H1441" s="61">
        <v>45554</v>
      </c>
      <c r="I1441" s="59">
        <v>0.25</v>
      </c>
      <c r="J1441" s="117" t="s">
        <v>14</v>
      </c>
      <c r="K1441" s="22"/>
    </row>
    <row r="1442" spans="2:11">
      <c r="B1442" s="22" t="s">
        <v>140</v>
      </c>
      <c r="C1442" s="28">
        <f>IF(B1442&lt;&gt;"",VLOOKUP(B1442,Projetos!E:F,2,0),"")</f>
        <v>39</v>
      </c>
      <c r="D1442" s="22"/>
      <c r="E1442" s="22" t="s">
        <v>144</v>
      </c>
      <c r="F1442" s="71" t="s">
        <v>804</v>
      </c>
      <c r="G1442" s="41" t="s">
        <v>525</v>
      </c>
      <c r="H1442" s="61">
        <v>45554</v>
      </c>
      <c r="I1442" s="59">
        <v>0.25</v>
      </c>
      <c r="J1442" s="117"/>
      <c r="K1442" s="22"/>
    </row>
    <row r="1443" spans="2:11" ht="30">
      <c r="B1443" s="22" t="s">
        <v>138</v>
      </c>
      <c r="C1443" s="28">
        <f>IF(B1443&lt;&gt;"",VLOOKUP(B1443,Projetos!E:F,2,0),"")</f>
        <v>30</v>
      </c>
      <c r="D1443" s="22"/>
      <c r="E1443" s="22" t="s">
        <v>31</v>
      </c>
      <c r="F1443" s="71" t="s">
        <v>820</v>
      </c>
      <c r="G1443" s="41" t="s">
        <v>34</v>
      </c>
      <c r="H1443" s="61">
        <v>45554</v>
      </c>
      <c r="I1443" s="59">
        <v>0.16666666666666666</v>
      </c>
      <c r="J1443" s="117" t="s">
        <v>14</v>
      </c>
      <c r="K1443" s="22"/>
    </row>
    <row r="1444" spans="2:11" ht="30">
      <c r="B1444" s="22" t="s">
        <v>156</v>
      </c>
      <c r="C1444" s="28">
        <f>IF(B1444&lt;&gt;"",VLOOKUP(B1444,Projetos!E:F,2,0),"")</f>
        <v>3</v>
      </c>
      <c r="D1444" s="22"/>
      <c r="E1444" s="22" t="s">
        <v>49</v>
      </c>
      <c r="F1444" s="71" t="s">
        <v>821</v>
      </c>
      <c r="G1444" s="41" t="s">
        <v>528</v>
      </c>
      <c r="H1444" s="61">
        <v>45554</v>
      </c>
      <c r="I1444" s="59">
        <v>4.1666666666666664E-2</v>
      </c>
      <c r="J1444" s="117" t="s">
        <v>14</v>
      </c>
      <c r="K1444" s="22"/>
    </row>
    <row r="1445" spans="2:11">
      <c r="B1445" s="22" t="s">
        <v>140</v>
      </c>
      <c r="C1445" s="28">
        <f>IF(B1445&lt;&gt;"",VLOOKUP(B1445,Projetos!E:F,2,0),"")</f>
        <v>39</v>
      </c>
      <c r="D1445" s="22"/>
      <c r="E1445" s="22" t="s">
        <v>40</v>
      </c>
      <c r="F1445" s="71" t="s">
        <v>763</v>
      </c>
      <c r="G1445" s="41" t="s">
        <v>528</v>
      </c>
      <c r="H1445" s="61">
        <v>45554</v>
      </c>
      <c r="I1445" s="59">
        <v>4.1666666666666664E-2</v>
      </c>
      <c r="J1445" s="117" t="s">
        <v>14</v>
      </c>
      <c r="K1445" s="22"/>
    </row>
    <row r="1446" spans="2:11">
      <c r="B1446" s="22" t="s">
        <v>140</v>
      </c>
      <c r="C1446" s="28">
        <f>IF(B1446&lt;&gt;"",VLOOKUP(B1446,Projetos!E:F,2,0),"")</f>
        <v>39</v>
      </c>
      <c r="D1446" s="22"/>
      <c r="E1446" s="22" t="s">
        <v>144</v>
      </c>
      <c r="F1446" s="71" t="s">
        <v>804</v>
      </c>
      <c r="G1446" s="41" t="s">
        <v>528</v>
      </c>
      <c r="H1446" s="61">
        <v>45554</v>
      </c>
      <c r="I1446" s="59">
        <v>0.125</v>
      </c>
      <c r="J1446" s="117" t="s">
        <v>14</v>
      </c>
      <c r="K1446" s="22"/>
    </row>
    <row r="1447" spans="2:11">
      <c r="B1447" s="22" t="s">
        <v>294</v>
      </c>
      <c r="C1447" s="28">
        <f>IF(B1447&lt;&gt;"",VLOOKUP(B1447,Projetos!E:F,2,0),"")</f>
        <v>26</v>
      </c>
      <c r="D1447" s="22"/>
      <c r="E1447" s="22" t="s">
        <v>144</v>
      </c>
      <c r="F1447" s="71" t="s">
        <v>726</v>
      </c>
      <c r="G1447" s="41" t="s">
        <v>19</v>
      </c>
      <c r="H1447" s="61">
        <v>45554</v>
      </c>
      <c r="I1447" s="59">
        <v>0.29166666666666669</v>
      </c>
      <c r="J1447" s="117" t="s">
        <v>14</v>
      </c>
      <c r="K1447" s="22"/>
    </row>
    <row r="1448" spans="2:11">
      <c r="B1448" s="22" t="s">
        <v>488</v>
      </c>
      <c r="C1448" s="28">
        <f>IF(B1448&lt;&gt;"",VLOOKUP(B1448,Projetos!E:F,2,0),"")</f>
        <v>50</v>
      </c>
      <c r="D1448" s="22"/>
      <c r="E1448" s="22" t="s">
        <v>23</v>
      </c>
      <c r="F1448" s="22" t="s">
        <v>805</v>
      </c>
      <c r="G1448" s="41" t="s">
        <v>20</v>
      </c>
      <c r="H1448" s="61">
        <v>45555</v>
      </c>
      <c r="I1448" s="59">
        <v>0.3125</v>
      </c>
      <c r="J1448" s="117" t="s">
        <v>14</v>
      </c>
      <c r="K1448" s="22"/>
    </row>
    <row r="1449" spans="2:11">
      <c r="B1449" s="22" t="s">
        <v>140</v>
      </c>
      <c r="C1449" s="28">
        <f>IF(B1449&lt;&gt;"",VLOOKUP(B1449,Projetos!E:F,2,0),"")</f>
        <v>39</v>
      </c>
      <c r="D1449" s="22"/>
      <c r="E1449" s="22" t="s">
        <v>144</v>
      </c>
      <c r="F1449" s="71" t="s">
        <v>822</v>
      </c>
      <c r="G1449" s="41" t="s">
        <v>525</v>
      </c>
      <c r="H1449" s="61">
        <v>45555</v>
      </c>
      <c r="I1449" s="59">
        <v>0.125</v>
      </c>
      <c r="J1449" s="117" t="s">
        <v>14</v>
      </c>
      <c r="K1449" s="22"/>
    </row>
    <row r="1450" spans="2:11" ht="30">
      <c r="B1450" s="22" t="s">
        <v>138</v>
      </c>
      <c r="C1450" s="28">
        <f>IF(B1450&lt;&gt;"",VLOOKUP(B1450,Projetos!E:F,2,0),"")</f>
        <v>30</v>
      </c>
      <c r="D1450" s="22"/>
      <c r="E1450" s="22" t="s">
        <v>26</v>
      </c>
      <c r="F1450" s="71" t="s">
        <v>823</v>
      </c>
      <c r="G1450" s="41" t="s">
        <v>34</v>
      </c>
      <c r="H1450" s="61">
        <v>45555</v>
      </c>
      <c r="I1450" s="59">
        <v>8.3333333333333329E-2</v>
      </c>
      <c r="J1450" s="117" t="s">
        <v>14</v>
      </c>
      <c r="K1450" s="22"/>
    </row>
    <row r="1451" spans="2:11">
      <c r="B1451" s="22" t="s">
        <v>231</v>
      </c>
      <c r="C1451" s="28">
        <f>IF(B1451&lt;&gt;"",VLOOKUP(B1451,Projetos!E:F,2,0),"")</f>
        <v>35</v>
      </c>
      <c r="D1451" s="22"/>
      <c r="E1451" s="22" t="s">
        <v>49</v>
      </c>
      <c r="F1451" s="71" t="s">
        <v>824</v>
      </c>
      <c r="G1451" s="41" t="s">
        <v>64</v>
      </c>
      <c r="H1451" s="61">
        <v>45554</v>
      </c>
      <c r="I1451" s="59">
        <v>0.29166666666666669</v>
      </c>
      <c r="J1451" s="117" t="s">
        <v>14</v>
      </c>
      <c r="K1451" s="22"/>
    </row>
    <row r="1452" spans="2:11">
      <c r="B1452" s="22" t="s">
        <v>192</v>
      </c>
      <c r="C1452" s="28">
        <f>IF(B1452&lt;&gt;"",VLOOKUP(B1452,Projetos!E:F,2,0),"")</f>
        <v>32</v>
      </c>
      <c r="D1452" s="22"/>
      <c r="E1452" s="22" t="s">
        <v>193</v>
      </c>
      <c r="F1452" s="71" t="s">
        <v>825</v>
      </c>
      <c r="G1452" s="41" t="s">
        <v>64</v>
      </c>
      <c r="H1452" s="61">
        <v>45554</v>
      </c>
      <c r="I1452" s="59">
        <v>4.1666666666666664E-2</v>
      </c>
      <c r="J1452" s="117" t="s">
        <v>14</v>
      </c>
      <c r="K1452" s="22"/>
    </row>
    <row r="1453" spans="2:11">
      <c r="B1453" s="22" t="s">
        <v>192</v>
      </c>
      <c r="C1453" s="28">
        <f>IF(B1453&lt;&gt;"",VLOOKUP(B1453,Projetos!E:F,2,0),"")</f>
        <v>32</v>
      </c>
      <c r="D1453" s="22"/>
      <c r="E1453" s="22" t="s">
        <v>193</v>
      </c>
      <c r="F1453" s="71" t="s">
        <v>826</v>
      </c>
      <c r="G1453" s="41" t="s">
        <v>66</v>
      </c>
      <c r="H1453" s="61">
        <v>45555</v>
      </c>
      <c r="I1453" s="59">
        <v>8.3333333333333329E-2</v>
      </c>
      <c r="J1453" s="117" t="s">
        <v>14</v>
      </c>
      <c r="K1453" s="22"/>
    </row>
    <row r="1454" spans="2:11">
      <c r="B1454" s="22" t="s">
        <v>140</v>
      </c>
      <c r="C1454" s="28">
        <f>IF(B1454&lt;&gt;"",VLOOKUP(B1454,Projetos!E:F,2,0),"")</f>
        <v>39</v>
      </c>
      <c r="D1454" s="22"/>
      <c r="E1454" s="22" t="s">
        <v>40</v>
      </c>
      <c r="F1454" s="71" t="s">
        <v>827</v>
      </c>
      <c r="G1454" s="41" t="s">
        <v>528</v>
      </c>
      <c r="H1454" s="61">
        <v>45555</v>
      </c>
      <c r="I1454" s="59">
        <v>0.16666666666666666</v>
      </c>
      <c r="J1454" s="117" t="s">
        <v>14</v>
      </c>
      <c r="K1454" s="22"/>
    </row>
    <row r="1455" spans="2:11">
      <c r="B1455" s="22" t="s">
        <v>192</v>
      </c>
      <c r="C1455" s="28">
        <f>IF(B1455&lt;&gt;"",VLOOKUP(B1455,Projetos!E:F,2,0),"")</f>
        <v>32</v>
      </c>
      <c r="D1455" s="22"/>
      <c r="E1455" s="22" t="s">
        <v>193</v>
      </c>
      <c r="F1455" s="71" t="s">
        <v>828</v>
      </c>
      <c r="G1455" s="41" t="s">
        <v>528</v>
      </c>
      <c r="H1455" s="61">
        <v>45555</v>
      </c>
      <c r="I1455" s="59">
        <v>4.1666666666666664E-2</v>
      </c>
      <c r="J1455" s="117" t="s">
        <v>14</v>
      </c>
      <c r="K1455" s="22"/>
    </row>
    <row r="1456" spans="2:11">
      <c r="B1456" s="22" t="s">
        <v>138</v>
      </c>
      <c r="C1456" s="28">
        <f>IF(B1456&lt;&gt;"",VLOOKUP(B1456,Projetos!E:F,2,0),"")</f>
        <v>30</v>
      </c>
      <c r="D1456" s="22"/>
      <c r="E1456" s="22" t="s">
        <v>26</v>
      </c>
      <c r="F1456" s="71" t="s">
        <v>829</v>
      </c>
      <c r="G1456" s="41" t="s">
        <v>34</v>
      </c>
      <c r="H1456" s="61">
        <v>45555</v>
      </c>
      <c r="I1456" s="59">
        <v>0.16666666666666666</v>
      </c>
      <c r="J1456" s="117" t="s">
        <v>14</v>
      </c>
      <c r="K1456" s="22"/>
    </row>
    <row r="1457" spans="2:11">
      <c r="B1457" s="22" t="s">
        <v>488</v>
      </c>
      <c r="C1457" s="28">
        <f>IF(B1457&lt;&gt;"",VLOOKUP(B1457,Projetos!E:F,2,0),"")</f>
        <v>50</v>
      </c>
      <c r="D1457" s="22"/>
      <c r="E1457" s="22" t="s">
        <v>23</v>
      </c>
      <c r="F1457" s="22" t="s">
        <v>805</v>
      </c>
      <c r="G1457" s="41" t="s">
        <v>20</v>
      </c>
      <c r="H1457" s="61">
        <v>45558</v>
      </c>
      <c r="I1457" s="59">
        <v>0.3125</v>
      </c>
      <c r="J1457" s="117" t="s">
        <v>14</v>
      </c>
      <c r="K1457" s="22"/>
    </row>
    <row r="1458" spans="2:11">
      <c r="B1458" s="22" t="s">
        <v>140</v>
      </c>
      <c r="C1458" s="28">
        <f>IF(B1458&lt;&gt;"",VLOOKUP(B1458,Projetos!E:F,2,0),"")</f>
        <v>39</v>
      </c>
      <c r="D1458" s="22"/>
      <c r="E1458" s="22" t="s">
        <v>144</v>
      </c>
      <c r="F1458" s="71" t="s">
        <v>830</v>
      </c>
      <c r="G1458" s="41" t="s">
        <v>525</v>
      </c>
      <c r="H1458" s="61">
        <v>45558</v>
      </c>
      <c r="I1458" s="59">
        <v>0.25</v>
      </c>
      <c r="J1458" s="117" t="s">
        <v>14</v>
      </c>
      <c r="K1458" s="22"/>
    </row>
    <row r="1459" spans="2:11" ht="30">
      <c r="B1459" s="22" t="s">
        <v>788</v>
      </c>
      <c r="C1459" s="28">
        <f>IF(B1459&lt;&gt;"",VLOOKUP(B1459,Projetos!E:F,2,0),"")</f>
        <v>55</v>
      </c>
      <c r="D1459" s="22"/>
      <c r="E1459" s="22" t="s">
        <v>16</v>
      </c>
      <c r="F1459" s="71" t="s">
        <v>831</v>
      </c>
      <c r="G1459" s="41" t="s">
        <v>34</v>
      </c>
      <c r="H1459" s="61">
        <v>45558</v>
      </c>
      <c r="I1459" s="59">
        <v>8.3333333333333329E-2</v>
      </c>
      <c r="J1459" s="117" t="s">
        <v>14</v>
      </c>
      <c r="K1459" s="22"/>
    </row>
    <row r="1460" spans="2:11" ht="30">
      <c r="B1460" s="22" t="s">
        <v>496</v>
      </c>
      <c r="C1460" s="28">
        <f>IF(B1460&lt;&gt;"",VLOOKUP(B1460,Projetos!E:F,2,0),"")</f>
        <v>51</v>
      </c>
      <c r="D1460" s="22"/>
      <c r="E1460" s="22" t="s">
        <v>16</v>
      </c>
      <c r="F1460" s="71" t="s">
        <v>832</v>
      </c>
      <c r="G1460" s="41" t="s">
        <v>34</v>
      </c>
      <c r="H1460" s="61">
        <v>45558</v>
      </c>
      <c r="I1460" s="59">
        <v>8.3333333333333329E-2</v>
      </c>
      <c r="J1460" s="117" t="s">
        <v>14</v>
      </c>
      <c r="K1460" s="22"/>
    </row>
    <row r="1461" spans="2:11">
      <c r="B1461" s="22" t="s">
        <v>488</v>
      </c>
      <c r="C1461" s="28">
        <f>IF(B1461&lt;&gt;"",VLOOKUP(B1461,Projetos!E:F,2,0),"")</f>
        <v>50</v>
      </c>
      <c r="D1461" s="22"/>
      <c r="E1461" s="22" t="s">
        <v>31</v>
      </c>
      <c r="F1461" s="71" t="s">
        <v>833</v>
      </c>
      <c r="G1461" s="41" t="s">
        <v>34</v>
      </c>
      <c r="H1461" s="61">
        <v>45558</v>
      </c>
      <c r="I1461" s="59">
        <v>0.16666666666666666</v>
      </c>
      <c r="J1461" s="117" t="s">
        <v>14</v>
      </c>
      <c r="K1461" s="22"/>
    </row>
    <row r="1462" spans="2:11" ht="30">
      <c r="B1462" s="22" t="s">
        <v>488</v>
      </c>
      <c r="C1462" s="28">
        <f>IF(B1462&lt;&gt;"",VLOOKUP(B1462,Projetos!E:F,2,0),"")</f>
        <v>50</v>
      </c>
      <c r="D1462" s="22"/>
      <c r="E1462" s="22" t="s">
        <v>26</v>
      </c>
      <c r="F1462" s="71" t="s">
        <v>834</v>
      </c>
      <c r="G1462" s="41" t="s">
        <v>34</v>
      </c>
      <c r="H1462" s="61">
        <v>45559</v>
      </c>
      <c r="I1462" s="59">
        <v>4.1666666666666664E-2</v>
      </c>
      <c r="J1462" s="117" t="s">
        <v>14</v>
      </c>
      <c r="K1462" s="22"/>
    </row>
    <row r="1463" spans="2:11" ht="30">
      <c r="B1463" s="22" t="s">
        <v>138</v>
      </c>
      <c r="C1463" s="28">
        <f>IF(B1463&lt;&gt;"",VLOOKUP(B1463,Projetos!E:F,2,0),"")</f>
        <v>30</v>
      </c>
      <c r="D1463" s="22"/>
      <c r="E1463" s="22" t="s">
        <v>835</v>
      </c>
      <c r="F1463" s="71" t="s">
        <v>836</v>
      </c>
      <c r="G1463" s="41" t="s">
        <v>34</v>
      </c>
      <c r="H1463" s="61">
        <v>45559</v>
      </c>
      <c r="I1463" s="59">
        <v>0.125</v>
      </c>
      <c r="J1463" s="117" t="s">
        <v>14</v>
      </c>
      <c r="K1463" s="22"/>
    </row>
    <row r="1464" spans="2:11">
      <c r="B1464" s="22" t="s">
        <v>138</v>
      </c>
      <c r="C1464" s="28">
        <f>IF(B1464&lt;&gt;"",VLOOKUP(B1464,Projetos!E:F,2,0),"")</f>
        <v>30</v>
      </c>
      <c r="D1464" s="22"/>
      <c r="E1464" s="22" t="s">
        <v>26</v>
      </c>
      <c r="F1464" s="71" t="s">
        <v>837</v>
      </c>
      <c r="G1464" s="41" t="s">
        <v>34</v>
      </c>
      <c r="H1464" s="61">
        <v>45559</v>
      </c>
      <c r="I1464" s="59">
        <v>0.16666666666666666</v>
      </c>
      <c r="J1464" s="117" t="s">
        <v>14</v>
      </c>
      <c r="K1464" s="22"/>
    </row>
    <row r="1465" spans="2:11" ht="30">
      <c r="B1465" s="22" t="s">
        <v>294</v>
      </c>
      <c r="C1465" s="28">
        <f>IF(B1465&lt;&gt;"",VLOOKUP(B1465,Projetos!E:F,2,0),"")</f>
        <v>26</v>
      </c>
      <c r="D1465" s="22"/>
      <c r="E1465" s="22" t="s">
        <v>26</v>
      </c>
      <c r="F1465" s="71" t="s">
        <v>838</v>
      </c>
      <c r="G1465" s="41" t="s">
        <v>19</v>
      </c>
      <c r="H1465" s="61">
        <v>45559</v>
      </c>
      <c r="I1465" s="59">
        <v>0.16666666666666666</v>
      </c>
      <c r="J1465" s="117" t="s">
        <v>14</v>
      </c>
      <c r="K1465" s="22"/>
    </row>
    <row r="1466" spans="2:11" ht="30">
      <c r="B1466" s="22" t="s">
        <v>643</v>
      </c>
      <c r="C1466" s="28">
        <f>IF(B1466&lt;&gt;"",VLOOKUP(B1466,Projetos!E:F,2,0),"")</f>
        <v>52</v>
      </c>
      <c r="D1466" s="22"/>
      <c r="E1466" s="22" t="s">
        <v>11</v>
      </c>
      <c r="F1466" s="71" t="s">
        <v>839</v>
      </c>
      <c r="G1466" s="41" t="s">
        <v>19</v>
      </c>
      <c r="H1466" s="61">
        <v>45559</v>
      </c>
      <c r="I1466" s="59">
        <v>8.3333333333333329E-2</v>
      </c>
      <c r="J1466" s="117" t="s">
        <v>14</v>
      </c>
      <c r="K1466" s="22"/>
    </row>
    <row r="1467" spans="2:11">
      <c r="B1467" s="22" t="s">
        <v>496</v>
      </c>
      <c r="C1467" s="28">
        <f>IF(B1467&lt;&gt;"",VLOOKUP(B1467,Projetos!E:F,2,0),"")</f>
        <v>51</v>
      </c>
      <c r="D1467" s="22"/>
      <c r="E1467" s="22" t="s">
        <v>11</v>
      </c>
      <c r="F1467" s="71" t="s">
        <v>840</v>
      </c>
      <c r="G1467" s="41" t="s">
        <v>19</v>
      </c>
      <c r="H1467" s="61">
        <v>45559</v>
      </c>
      <c r="I1467" s="59">
        <v>8.3333333333333329E-2</v>
      </c>
      <c r="J1467" s="117" t="s">
        <v>14</v>
      </c>
      <c r="K1467" s="22"/>
    </row>
    <row r="1468" spans="2:11" ht="45">
      <c r="B1468" s="22" t="s">
        <v>788</v>
      </c>
      <c r="C1468" s="28">
        <f>IF(B1468&lt;&gt;"",VLOOKUP(B1468,Projetos!E:F,2,0),"")</f>
        <v>55</v>
      </c>
      <c r="D1468" s="22"/>
      <c r="E1468" s="22" t="s">
        <v>65</v>
      </c>
      <c r="F1468" s="71" t="s">
        <v>841</v>
      </c>
      <c r="G1468" s="41" t="s">
        <v>20</v>
      </c>
      <c r="H1468" s="61">
        <v>45559</v>
      </c>
      <c r="I1468" s="59">
        <v>0.20833333333333334</v>
      </c>
      <c r="J1468" s="117" t="s">
        <v>14</v>
      </c>
      <c r="K1468" s="22"/>
    </row>
    <row r="1469" spans="2:11" ht="30">
      <c r="B1469" s="22" t="s">
        <v>138</v>
      </c>
      <c r="C1469" s="28">
        <f>IF(B1469&lt;&gt;"",VLOOKUP(B1469,Projetos!E:F,2,0),"")</f>
        <v>30</v>
      </c>
      <c r="D1469" s="22"/>
      <c r="E1469" s="22" t="s">
        <v>16</v>
      </c>
      <c r="F1469" s="71" t="s">
        <v>842</v>
      </c>
      <c r="G1469" s="41" t="s">
        <v>20</v>
      </c>
      <c r="H1469" s="61">
        <v>45559</v>
      </c>
      <c r="I1469" s="59">
        <v>6.25E-2</v>
      </c>
      <c r="J1469" s="117" t="s">
        <v>14</v>
      </c>
      <c r="K1469" s="22"/>
    </row>
    <row r="1470" spans="2:11">
      <c r="B1470" s="22" t="s">
        <v>843</v>
      </c>
      <c r="C1470" s="28">
        <f>IF(B1470&lt;&gt;"",VLOOKUP(B1470,Projetos!E:F,2,0),"")</f>
        <v>56</v>
      </c>
      <c r="D1470" s="22"/>
      <c r="E1470" s="22" t="s">
        <v>21</v>
      </c>
      <c r="F1470" s="71" t="s">
        <v>844</v>
      </c>
      <c r="G1470" s="41" t="s">
        <v>64</v>
      </c>
      <c r="H1470" s="61">
        <v>45555</v>
      </c>
      <c r="I1470" s="59">
        <v>0.29166666666666669</v>
      </c>
      <c r="J1470" s="117" t="s">
        <v>14</v>
      </c>
      <c r="K1470" s="22"/>
    </row>
    <row r="1471" spans="2:11">
      <c r="B1471" s="22" t="s">
        <v>192</v>
      </c>
      <c r="C1471" s="28">
        <f>IF(B1471&lt;&gt;"",VLOOKUP(B1471,Projetos!E:F,2,0),"")</f>
        <v>32</v>
      </c>
      <c r="D1471" s="22"/>
      <c r="E1471" s="22" t="s">
        <v>193</v>
      </c>
      <c r="F1471" s="71" t="s">
        <v>845</v>
      </c>
      <c r="G1471" s="41" t="s">
        <v>64</v>
      </c>
      <c r="H1471" s="61">
        <v>45555</v>
      </c>
      <c r="I1471" s="59">
        <v>4.1666666666666664E-2</v>
      </c>
      <c r="J1471" s="117" t="s">
        <v>14</v>
      </c>
      <c r="K1471" s="22"/>
    </row>
    <row r="1472" spans="2:11">
      <c r="B1472" s="22" t="s">
        <v>843</v>
      </c>
      <c r="C1472" s="28">
        <f>IF(B1472&lt;&gt;"",VLOOKUP(B1472,Projetos!E:F,2,0),"")</f>
        <v>56</v>
      </c>
      <c r="D1472" s="22"/>
      <c r="E1472" s="22" t="s">
        <v>247</v>
      </c>
      <c r="F1472" s="71" t="s">
        <v>846</v>
      </c>
      <c r="G1472" s="41" t="s">
        <v>64</v>
      </c>
      <c r="H1472" s="61">
        <v>45558</v>
      </c>
      <c r="I1472" s="59">
        <v>0.25</v>
      </c>
      <c r="J1472" s="117" t="s">
        <v>14</v>
      </c>
      <c r="K1472" s="22"/>
    </row>
    <row r="1473" spans="2:11" ht="30">
      <c r="B1473" s="22" t="s">
        <v>138</v>
      </c>
      <c r="C1473" s="28">
        <f>IF(B1473&lt;&gt;"",VLOOKUP(B1473,Projetos!E:F,2,0),"")</f>
        <v>30</v>
      </c>
      <c r="D1473" s="22"/>
      <c r="E1473" s="22" t="s">
        <v>16</v>
      </c>
      <c r="F1473" s="71" t="s">
        <v>847</v>
      </c>
      <c r="G1473" s="41" t="s">
        <v>64</v>
      </c>
      <c r="H1473" s="61">
        <v>45558</v>
      </c>
      <c r="I1473" s="59">
        <v>4.1666666666666664E-2</v>
      </c>
      <c r="J1473" s="117" t="s">
        <v>14</v>
      </c>
      <c r="K1473" s="22"/>
    </row>
    <row r="1474" spans="2:11" ht="30">
      <c r="B1474" s="22" t="s">
        <v>496</v>
      </c>
      <c r="C1474" s="28">
        <f>IF(B1474&lt;&gt;"",VLOOKUP(B1474,Projetos!E:F,2,0),"")</f>
        <v>51</v>
      </c>
      <c r="D1474" s="22"/>
      <c r="E1474" s="22" t="s">
        <v>16</v>
      </c>
      <c r="F1474" s="71" t="s">
        <v>832</v>
      </c>
      <c r="G1474" s="41" t="s">
        <v>64</v>
      </c>
      <c r="H1474" s="61">
        <v>45558</v>
      </c>
      <c r="I1474" s="59">
        <v>4.1666666666666664E-2</v>
      </c>
      <c r="J1474" s="117" t="s">
        <v>14</v>
      </c>
      <c r="K1474" s="22"/>
    </row>
    <row r="1475" spans="2:11">
      <c r="B1475" s="22" t="s">
        <v>843</v>
      </c>
      <c r="C1475" s="28">
        <f>IF(B1475&lt;&gt;"",VLOOKUP(B1475,Projetos!E:F,2,0),"")</f>
        <v>56</v>
      </c>
      <c r="D1475" s="22"/>
      <c r="E1475" s="22" t="s">
        <v>31</v>
      </c>
      <c r="F1475" s="71" t="s">
        <v>848</v>
      </c>
      <c r="G1475" s="41" t="s">
        <v>66</v>
      </c>
      <c r="H1475" s="61">
        <v>45555</v>
      </c>
      <c r="I1475" s="59">
        <v>0.16666666666666666</v>
      </c>
      <c r="J1475" s="117" t="s">
        <v>14</v>
      </c>
      <c r="K1475" s="22"/>
    </row>
    <row r="1476" spans="2:11">
      <c r="B1476" s="22" t="s">
        <v>843</v>
      </c>
      <c r="C1476" s="28">
        <f>IF(B1476&lt;&gt;"",VLOOKUP(B1476,Projetos!E:F,2,0),"")</f>
        <v>56</v>
      </c>
      <c r="D1476" s="22"/>
      <c r="E1476" s="22" t="s">
        <v>31</v>
      </c>
      <c r="F1476" s="71" t="s">
        <v>848</v>
      </c>
      <c r="G1476" s="41" t="s">
        <v>66</v>
      </c>
      <c r="H1476" s="61">
        <v>45558</v>
      </c>
      <c r="I1476" s="59">
        <v>0.125</v>
      </c>
      <c r="J1476" s="117" t="s">
        <v>14</v>
      </c>
      <c r="K1476" s="22"/>
    </row>
    <row r="1477" spans="2:11">
      <c r="B1477" s="22" t="s">
        <v>156</v>
      </c>
      <c r="C1477" s="28">
        <f>IF(B1477&lt;&gt;"",VLOOKUP(B1477,Projetos!E:F,2,0),"")</f>
        <v>3</v>
      </c>
      <c r="D1477" s="22"/>
      <c r="E1477" s="22" t="s">
        <v>40</v>
      </c>
      <c r="F1477" s="71" t="s">
        <v>849</v>
      </c>
      <c r="G1477" s="41" t="s">
        <v>66</v>
      </c>
      <c r="H1477" s="61">
        <v>45558</v>
      </c>
      <c r="I1477" s="59">
        <v>0.125</v>
      </c>
      <c r="J1477" s="117" t="s">
        <v>14</v>
      </c>
      <c r="K1477" s="22"/>
    </row>
    <row r="1478" spans="2:11">
      <c r="B1478" s="22" t="s">
        <v>156</v>
      </c>
      <c r="C1478" s="28">
        <f>IF(B1478&lt;&gt;"",VLOOKUP(B1478,Projetos!E:F,2,0),"")</f>
        <v>3</v>
      </c>
      <c r="D1478" s="22"/>
      <c r="E1478" s="22" t="s">
        <v>40</v>
      </c>
      <c r="F1478" s="71" t="s">
        <v>849</v>
      </c>
      <c r="G1478" s="41" t="s">
        <v>66</v>
      </c>
      <c r="H1478" s="61">
        <v>45559</v>
      </c>
      <c r="I1478" s="59">
        <v>0.125</v>
      </c>
      <c r="J1478" s="117" t="s">
        <v>14</v>
      </c>
      <c r="K1478" s="22"/>
    </row>
    <row r="1479" spans="2:11">
      <c r="B1479" s="22" t="s">
        <v>843</v>
      </c>
      <c r="C1479" s="28">
        <f>IF(B1479&lt;&gt;"",VLOOKUP(B1479,Projetos!E:F,2,0),"")</f>
        <v>56</v>
      </c>
      <c r="D1479" s="22"/>
      <c r="E1479" s="22" t="s">
        <v>23</v>
      </c>
      <c r="F1479" s="71" t="s">
        <v>850</v>
      </c>
      <c r="G1479" s="41" t="s">
        <v>66</v>
      </c>
      <c r="H1479" s="61">
        <v>45559</v>
      </c>
      <c r="I1479" s="59">
        <v>0.125</v>
      </c>
      <c r="J1479" s="117" t="s">
        <v>14</v>
      </c>
      <c r="K1479" s="22"/>
    </row>
    <row r="1480" spans="2:11">
      <c r="B1480" s="22" t="s">
        <v>843</v>
      </c>
      <c r="C1480" s="28">
        <f>IF(B1480&lt;&gt;"",VLOOKUP(B1480,Projetos!E:F,2,0),"")</f>
        <v>56</v>
      </c>
      <c r="D1480" s="22"/>
      <c r="E1480" s="22" t="s">
        <v>23</v>
      </c>
      <c r="F1480" s="71" t="s">
        <v>851</v>
      </c>
      <c r="G1480" s="41" t="s">
        <v>66</v>
      </c>
      <c r="H1480" s="61">
        <v>45560</v>
      </c>
      <c r="I1480" s="59">
        <v>0.125</v>
      </c>
      <c r="J1480" s="117" t="s">
        <v>14</v>
      </c>
      <c r="K1480" s="22"/>
    </row>
    <row r="1481" spans="2:11">
      <c r="B1481" s="22" t="s">
        <v>156</v>
      </c>
      <c r="C1481" s="28">
        <f>IF(B1481&lt;&gt;"",VLOOKUP(B1481,Projetos!E:F,2,0),"")</f>
        <v>3</v>
      </c>
      <c r="D1481" s="22"/>
      <c r="E1481" s="22" t="s">
        <v>40</v>
      </c>
      <c r="F1481" s="71" t="s">
        <v>852</v>
      </c>
      <c r="G1481" s="41" t="s">
        <v>66</v>
      </c>
      <c r="H1481" s="61">
        <v>45560</v>
      </c>
      <c r="I1481" s="59">
        <v>0.125</v>
      </c>
      <c r="J1481" s="117" t="s">
        <v>14</v>
      </c>
      <c r="K1481" s="22"/>
    </row>
    <row r="1482" spans="2:11" ht="30">
      <c r="B1482" s="22" t="s">
        <v>138</v>
      </c>
      <c r="C1482" s="28">
        <f>IF(B1482&lt;&gt;"",VLOOKUP(B1482,Projetos!E:F,2,0),"")</f>
        <v>30</v>
      </c>
      <c r="D1482" s="22"/>
      <c r="E1482" s="22" t="s">
        <v>31</v>
      </c>
      <c r="F1482" s="71" t="s">
        <v>853</v>
      </c>
      <c r="G1482" s="41" t="s">
        <v>34</v>
      </c>
      <c r="H1482" s="61">
        <v>45560</v>
      </c>
      <c r="I1482" s="59">
        <v>0.16666666666666666</v>
      </c>
      <c r="J1482" s="117" t="s">
        <v>14</v>
      </c>
      <c r="K1482" s="22"/>
    </row>
    <row r="1483" spans="2:11">
      <c r="B1483" s="22" t="s">
        <v>140</v>
      </c>
      <c r="C1483" s="28">
        <f>IF(B1483&lt;&gt;"",VLOOKUP(B1483,Projetos!E:F,2,0),"")</f>
        <v>39</v>
      </c>
      <c r="D1483" s="22"/>
      <c r="E1483" s="22" t="s">
        <v>40</v>
      </c>
      <c r="F1483" s="71" t="s">
        <v>854</v>
      </c>
      <c r="G1483" s="41" t="s">
        <v>528</v>
      </c>
      <c r="H1483" s="61">
        <v>45558</v>
      </c>
      <c r="I1483" s="59">
        <v>8.3333333333333329E-2</v>
      </c>
      <c r="J1483" s="117" t="s">
        <v>14</v>
      </c>
      <c r="K1483" s="22"/>
    </row>
    <row r="1484" spans="2:11">
      <c r="B1484" s="22" t="s">
        <v>192</v>
      </c>
      <c r="C1484" s="28">
        <f>IF(B1484&lt;&gt;"",VLOOKUP(B1484,Projetos!E:F,2,0),"")</f>
        <v>32</v>
      </c>
      <c r="D1484" s="22"/>
      <c r="E1484" s="22" t="s">
        <v>193</v>
      </c>
      <c r="F1484" s="71" t="s">
        <v>855</v>
      </c>
      <c r="G1484" s="41" t="s">
        <v>528</v>
      </c>
      <c r="H1484" s="61">
        <v>45558</v>
      </c>
      <c r="I1484" s="59">
        <v>0.125</v>
      </c>
      <c r="J1484" s="117" t="s">
        <v>14</v>
      </c>
      <c r="K1484" s="22"/>
    </row>
    <row r="1485" spans="2:11" ht="30">
      <c r="B1485" s="22" t="s">
        <v>788</v>
      </c>
      <c r="C1485" s="28">
        <f>IF(B1485&lt;&gt;"",VLOOKUP(B1485,Projetos!E:F,2,0),"")</f>
        <v>55</v>
      </c>
      <c r="D1485" s="22"/>
      <c r="E1485" s="22" t="s">
        <v>23</v>
      </c>
      <c r="F1485" s="71" t="s">
        <v>856</v>
      </c>
      <c r="G1485" s="41" t="s">
        <v>20</v>
      </c>
      <c r="H1485" s="61">
        <v>45560</v>
      </c>
      <c r="I1485" s="59">
        <v>0.20833333333333334</v>
      </c>
      <c r="J1485" s="117" t="s">
        <v>14</v>
      </c>
      <c r="K1485" s="22"/>
    </row>
    <row r="1486" spans="2:11" ht="30">
      <c r="B1486" s="22" t="s">
        <v>192</v>
      </c>
      <c r="C1486" s="28">
        <f>IF(B1486&lt;&gt;"",VLOOKUP(B1486,Projetos!E:F,2,0),"")</f>
        <v>32</v>
      </c>
      <c r="D1486" s="22"/>
      <c r="E1486" s="22" t="s">
        <v>193</v>
      </c>
      <c r="F1486" s="71" t="s">
        <v>857</v>
      </c>
      <c r="G1486" s="41" t="s">
        <v>528</v>
      </c>
      <c r="H1486" s="61">
        <v>45559</v>
      </c>
      <c r="I1486" s="59">
        <v>0.20833333333333334</v>
      </c>
      <c r="J1486" s="117" t="s">
        <v>14</v>
      </c>
      <c r="K1486" s="22"/>
    </row>
    <row r="1487" spans="2:11">
      <c r="B1487" s="22" t="s">
        <v>192</v>
      </c>
      <c r="C1487" s="28">
        <f>IF(B1487&lt;&gt;"",VLOOKUP(B1487,Projetos!E:F,2,0),"")</f>
        <v>32</v>
      </c>
      <c r="D1487" s="22"/>
      <c r="E1487" s="22" t="s">
        <v>193</v>
      </c>
      <c r="F1487" s="71" t="s">
        <v>858</v>
      </c>
      <c r="G1487" s="41" t="s">
        <v>528</v>
      </c>
      <c r="H1487" s="61">
        <v>45560</v>
      </c>
      <c r="I1487" s="59">
        <v>0.20833333333333334</v>
      </c>
      <c r="J1487" s="117" t="s">
        <v>14</v>
      </c>
      <c r="K1487" s="22"/>
    </row>
    <row r="1488" spans="2:11">
      <c r="B1488" s="22" t="s">
        <v>192</v>
      </c>
      <c r="C1488" s="28">
        <f>IF(B1488&lt;&gt;"",VLOOKUP(B1488,Projetos!E:F,2,0),"")</f>
        <v>32</v>
      </c>
      <c r="D1488" s="22"/>
      <c r="E1488" s="22" t="s">
        <v>193</v>
      </c>
      <c r="F1488" s="71" t="s">
        <v>859</v>
      </c>
      <c r="G1488" s="41" t="s">
        <v>525</v>
      </c>
      <c r="H1488" s="61">
        <v>45559</v>
      </c>
      <c r="I1488" s="59">
        <v>0.25</v>
      </c>
      <c r="J1488" s="117" t="s">
        <v>14</v>
      </c>
      <c r="K1488" s="22"/>
    </row>
    <row r="1489" spans="2:11">
      <c r="B1489" s="22" t="s">
        <v>192</v>
      </c>
      <c r="C1489" s="28">
        <f>IF(B1489&lt;&gt;"",VLOOKUP(B1489,Projetos!E:F,2,0),"")</f>
        <v>32</v>
      </c>
      <c r="D1489" s="22"/>
      <c r="E1489" s="22" t="s">
        <v>193</v>
      </c>
      <c r="F1489" s="71" t="s">
        <v>860</v>
      </c>
      <c r="G1489" s="41" t="s">
        <v>525</v>
      </c>
      <c r="H1489" s="61">
        <v>45560</v>
      </c>
      <c r="I1489" s="59">
        <v>0.125</v>
      </c>
      <c r="J1489" s="117" t="s">
        <v>14</v>
      </c>
      <c r="K1489" s="22"/>
    </row>
    <row r="1490" spans="2:11">
      <c r="B1490" s="22" t="s">
        <v>643</v>
      </c>
      <c r="C1490" s="28">
        <f>IF(B1490&lt;&gt;"",VLOOKUP(B1490,Projetos!E:F,2,0),"")</f>
        <v>52</v>
      </c>
      <c r="D1490" s="22"/>
      <c r="E1490" s="22" t="s">
        <v>23</v>
      </c>
      <c r="F1490" s="71" t="s">
        <v>861</v>
      </c>
      <c r="G1490" s="41" t="s">
        <v>525</v>
      </c>
      <c r="H1490" s="61">
        <v>45560</v>
      </c>
      <c r="I1490" s="59">
        <v>0.125</v>
      </c>
      <c r="J1490" s="117" t="s">
        <v>14</v>
      </c>
      <c r="K1490" s="22"/>
    </row>
    <row r="1491" spans="2:11" ht="30">
      <c r="B1491" s="22" t="s">
        <v>138</v>
      </c>
      <c r="C1491" s="28">
        <f>IF(B1491&lt;&gt;"",VLOOKUP(B1491,Projetos!E:F,2,0),"")</f>
        <v>30</v>
      </c>
      <c r="D1491" s="22"/>
      <c r="E1491" s="22" t="s">
        <v>26</v>
      </c>
      <c r="F1491" s="71" t="s">
        <v>862</v>
      </c>
      <c r="G1491" s="41" t="s">
        <v>34</v>
      </c>
      <c r="H1491" s="61">
        <v>45560</v>
      </c>
      <c r="I1491" s="59">
        <v>8.3333333333333329E-2</v>
      </c>
      <c r="J1491" s="117" t="s">
        <v>14</v>
      </c>
      <c r="K1491" s="22"/>
    </row>
    <row r="1492" spans="2:11" ht="30">
      <c r="B1492" s="22" t="s">
        <v>788</v>
      </c>
      <c r="C1492" s="28">
        <f>IF(B1492&lt;&gt;"",VLOOKUP(B1492,Projetos!E:F,2,0),"")</f>
        <v>55</v>
      </c>
      <c r="D1492" s="22"/>
      <c r="E1492" s="22" t="s">
        <v>23</v>
      </c>
      <c r="F1492" s="71" t="s">
        <v>856</v>
      </c>
      <c r="G1492" s="41" t="s">
        <v>20</v>
      </c>
      <c r="H1492" s="61">
        <v>45561</v>
      </c>
      <c r="I1492" s="59">
        <v>0.20833333333333334</v>
      </c>
      <c r="J1492" s="117" t="s">
        <v>14</v>
      </c>
      <c r="K1492" s="22"/>
    </row>
    <row r="1493" spans="2:11" ht="30">
      <c r="B1493" s="22" t="s">
        <v>138</v>
      </c>
      <c r="C1493" s="28">
        <f>IF(B1493&lt;&gt;"",VLOOKUP(B1493,Projetos!E:F,2,0),"")</f>
        <v>30</v>
      </c>
      <c r="D1493" s="22"/>
      <c r="E1493" s="22" t="s">
        <v>26</v>
      </c>
      <c r="F1493" s="71" t="s">
        <v>862</v>
      </c>
      <c r="G1493" s="41" t="s">
        <v>34</v>
      </c>
      <c r="H1493" s="61">
        <v>45561</v>
      </c>
      <c r="I1493" s="59">
        <v>8.3333333333333329E-2</v>
      </c>
      <c r="J1493" s="117" t="s">
        <v>14</v>
      </c>
      <c r="K1493" s="22"/>
    </row>
    <row r="1494" spans="2:11">
      <c r="B1494" s="22" t="s">
        <v>643</v>
      </c>
      <c r="C1494" s="28">
        <f>IF(B1494&lt;&gt;"",VLOOKUP(B1494,Projetos!E:F,2,0),"")</f>
        <v>52</v>
      </c>
      <c r="D1494" s="22"/>
      <c r="E1494" s="22" t="s">
        <v>11</v>
      </c>
      <c r="F1494" s="71" t="s">
        <v>863</v>
      </c>
      <c r="G1494" s="41" t="s">
        <v>19</v>
      </c>
      <c r="H1494" s="61">
        <v>45561</v>
      </c>
      <c r="I1494" s="59">
        <v>0.16666666666666666</v>
      </c>
      <c r="J1494" s="117" t="s">
        <v>14</v>
      </c>
      <c r="K1494" s="22"/>
    </row>
    <row r="1495" spans="2:11" ht="30">
      <c r="B1495" s="22" t="s">
        <v>788</v>
      </c>
      <c r="C1495" s="28">
        <f>IF(B1495&lt;&gt;"",VLOOKUP(B1495,Projetos!E:F,2,0),"")</f>
        <v>55</v>
      </c>
      <c r="D1495" s="22"/>
      <c r="E1495" s="22" t="s">
        <v>21</v>
      </c>
      <c r="F1495" s="71" t="s">
        <v>864</v>
      </c>
      <c r="G1495" s="41" t="s">
        <v>19</v>
      </c>
      <c r="H1495" s="61">
        <v>45561</v>
      </c>
      <c r="I1495" s="59">
        <v>0.16666666666666666</v>
      </c>
      <c r="J1495" s="117" t="s">
        <v>14</v>
      </c>
      <c r="K1495" s="22"/>
    </row>
    <row r="1496" spans="2:11" ht="30">
      <c r="B1496" s="22" t="s">
        <v>843</v>
      </c>
      <c r="C1496" s="28">
        <f>IF(B1496&lt;&gt;"",VLOOKUP(B1496,Projetos!E:F,2,0),"")</f>
        <v>56</v>
      </c>
      <c r="D1496" s="22"/>
      <c r="E1496" s="22" t="s">
        <v>23</v>
      </c>
      <c r="F1496" s="71" t="s">
        <v>865</v>
      </c>
      <c r="G1496" s="41" t="s">
        <v>64</v>
      </c>
      <c r="H1496" s="61">
        <v>45559</v>
      </c>
      <c r="I1496" s="59">
        <v>0.33333333333333331</v>
      </c>
      <c r="J1496" s="117" t="s">
        <v>14</v>
      </c>
      <c r="K1496" s="22"/>
    </row>
    <row r="1497" spans="2:11">
      <c r="B1497" s="22" t="s">
        <v>192</v>
      </c>
      <c r="C1497" s="28">
        <f>IF(B1497&lt;&gt;"",VLOOKUP(B1497,Projetos!E:F,2,0),"")</f>
        <v>32</v>
      </c>
      <c r="D1497" s="22"/>
      <c r="E1497" s="22" t="s">
        <v>193</v>
      </c>
      <c r="F1497" s="71" t="s">
        <v>866</v>
      </c>
      <c r="G1497" s="41" t="s">
        <v>525</v>
      </c>
      <c r="H1497" s="61">
        <v>45561</v>
      </c>
      <c r="I1497" s="59">
        <v>4.1666666666666664E-2</v>
      </c>
      <c r="J1497" s="117" t="s">
        <v>14</v>
      </c>
      <c r="K1497" s="22"/>
    </row>
    <row r="1498" spans="2:11">
      <c r="B1498" s="22" t="s">
        <v>643</v>
      </c>
      <c r="C1498" s="28">
        <f>IF(B1498&lt;&gt;"",VLOOKUP(B1498,Projetos!E:F,2,0),"")</f>
        <v>52</v>
      </c>
      <c r="D1498" s="22"/>
      <c r="E1498" s="22" t="s">
        <v>21</v>
      </c>
      <c r="F1498" s="71" t="s">
        <v>867</v>
      </c>
      <c r="G1498" s="41" t="s">
        <v>525</v>
      </c>
      <c r="H1498" s="61">
        <v>45561</v>
      </c>
      <c r="I1498" s="59">
        <v>0.20833333333333334</v>
      </c>
      <c r="J1498" s="117" t="s">
        <v>14</v>
      </c>
      <c r="K1498" s="22"/>
    </row>
    <row r="1499" spans="2:11">
      <c r="B1499" s="22" t="s">
        <v>156</v>
      </c>
      <c r="C1499" s="28">
        <f>IF(B1499&lt;&gt;"",VLOOKUP(B1499,Projetos!E:F,2,0),"")</f>
        <v>3</v>
      </c>
      <c r="D1499" s="22"/>
      <c r="E1499" s="22" t="s">
        <v>40</v>
      </c>
      <c r="F1499" s="71" t="s">
        <v>868</v>
      </c>
      <c r="G1499" s="41" t="s">
        <v>66</v>
      </c>
      <c r="H1499" s="61">
        <v>45561</v>
      </c>
      <c r="I1499" s="59">
        <v>0.25</v>
      </c>
      <c r="J1499" s="117" t="s">
        <v>14</v>
      </c>
      <c r="K1499" s="22"/>
    </row>
    <row r="1500" spans="2:11">
      <c r="B1500" s="22" t="s">
        <v>192</v>
      </c>
      <c r="C1500" s="28">
        <f>IF(B1500&lt;&gt;"",VLOOKUP(B1500,Projetos!E:F,2,0),"")</f>
        <v>32</v>
      </c>
      <c r="D1500" s="22"/>
      <c r="E1500" s="22" t="s">
        <v>193</v>
      </c>
      <c r="F1500" s="71" t="s">
        <v>869</v>
      </c>
      <c r="G1500" s="41" t="s">
        <v>528</v>
      </c>
      <c r="H1500" s="61">
        <v>45561</v>
      </c>
      <c r="I1500" s="59">
        <v>0.20833333333333334</v>
      </c>
      <c r="J1500" s="117" t="s">
        <v>14</v>
      </c>
      <c r="K1500" s="22"/>
    </row>
    <row r="1501" spans="2:11">
      <c r="B1501" s="22" t="s">
        <v>843</v>
      </c>
      <c r="C1501" s="28">
        <f>IF(B1501&lt;&gt;"",VLOOKUP(B1501,Projetos!E:F,2,0),"")</f>
        <v>56</v>
      </c>
      <c r="D1501" s="22"/>
      <c r="E1501" s="22" t="s">
        <v>23</v>
      </c>
      <c r="F1501" s="71" t="s">
        <v>870</v>
      </c>
      <c r="G1501" s="41" t="s">
        <v>64</v>
      </c>
      <c r="H1501" s="61">
        <v>45560</v>
      </c>
      <c r="I1501" s="59">
        <v>0.16666666666666666</v>
      </c>
      <c r="J1501" s="117" t="s">
        <v>14</v>
      </c>
      <c r="K1501" s="22"/>
    </row>
    <row r="1502" spans="2:11">
      <c r="B1502" s="22" t="s">
        <v>192</v>
      </c>
      <c r="C1502" s="28">
        <f>IF(B1502&lt;&gt;"",VLOOKUP(B1502,Projetos!E:F,2,0),"")</f>
        <v>32</v>
      </c>
      <c r="D1502" s="22"/>
      <c r="E1502" s="22" t="s">
        <v>193</v>
      </c>
      <c r="F1502" s="71" t="s">
        <v>871</v>
      </c>
      <c r="G1502" s="41" t="s">
        <v>64</v>
      </c>
      <c r="H1502" s="61">
        <v>45560</v>
      </c>
      <c r="I1502" s="59">
        <v>4.1666666666666664E-2</v>
      </c>
      <c r="J1502" s="117" t="s">
        <v>14</v>
      </c>
      <c r="K1502" s="22"/>
    </row>
    <row r="1503" spans="2:11">
      <c r="B1503" s="22" t="s">
        <v>156</v>
      </c>
      <c r="C1503" s="28">
        <f>IF(B1503&lt;&gt;"",VLOOKUP(B1503,Projetos!E:F,2,0),"")</f>
        <v>3</v>
      </c>
      <c r="D1503" s="22"/>
      <c r="E1503" s="22" t="s">
        <v>40</v>
      </c>
      <c r="F1503" s="71" t="s">
        <v>872</v>
      </c>
      <c r="G1503" s="41" t="s">
        <v>64</v>
      </c>
      <c r="H1503" s="61">
        <v>45560</v>
      </c>
      <c r="I1503" s="59">
        <v>0.125</v>
      </c>
      <c r="J1503" s="117" t="s">
        <v>14</v>
      </c>
      <c r="K1503" s="22"/>
    </row>
    <row r="1504" spans="2:11">
      <c r="B1504" s="22" t="s">
        <v>138</v>
      </c>
      <c r="C1504" s="28">
        <f>IF(B1504&lt;&gt;"",VLOOKUP(B1504,Projetos!E:F,2,0),"")</f>
        <v>30</v>
      </c>
      <c r="D1504" s="22"/>
      <c r="E1504" s="22" t="s">
        <v>25</v>
      </c>
      <c r="F1504" s="71" t="s">
        <v>873</v>
      </c>
      <c r="G1504" s="41" t="s">
        <v>64</v>
      </c>
      <c r="H1504" s="61">
        <v>45561</v>
      </c>
      <c r="I1504" s="59">
        <v>0.16666666666666666</v>
      </c>
      <c r="J1504" s="117" t="s">
        <v>14</v>
      </c>
      <c r="K1504" s="22"/>
    </row>
    <row r="1505" spans="2:11">
      <c r="B1505" s="22" t="s">
        <v>156</v>
      </c>
      <c r="C1505" s="28">
        <f>IF(B1505&lt;&gt;"",VLOOKUP(B1505,Projetos!E:F,2,0),"")</f>
        <v>3</v>
      </c>
      <c r="D1505" s="22"/>
      <c r="E1505" s="22" t="s">
        <v>40</v>
      </c>
      <c r="F1505" s="71" t="s">
        <v>874</v>
      </c>
      <c r="G1505" s="41" t="s">
        <v>64</v>
      </c>
      <c r="H1505" s="61">
        <v>45561</v>
      </c>
      <c r="I1505" s="59">
        <v>8.3333333333333329E-2</v>
      </c>
      <c r="J1505" s="117" t="s">
        <v>14</v>
      </c>
      <c r="K1505" s="22"/>
    </row>
    <row r="1506" spans="2:11">
      <c r="B1506" s="22" t="s">
        <v>156</v>
      </c>
      <c r="C1506" s="28">
        <f>IF(B1506&lt;&gt;"",VLOOKUP(B1506,Projetos!E:F,2,0),"")</f>
        <v>3</v>
      </c>
      <c r="D1506" s="22"/>
      <c r="E1506" s="22" t="s">
        <v>40</v>
      </c>
      <c r="F1506" s="71" t="s">
        <v>875</v>
      </c>
      <c r="G1506" s="41" t="s">
        <v>64</v>
      </c>
      <c r="H1506" s="61">
        <v>45561</v>
      </c>
      <c r="I1506" s="59">
        <v>8.3333333333333329E-2</v>
      </c>
      <c r="J1506" s="117" t="s">
        <v>14</v>
      </c>
      <c r="K1506" s="22"/>
    </row>
    <row r="1507" spans="2:11">
      <c r="B1507" s="22" t="s">
        <v>156</v>
      </c>
      <c r="C1507" s="28">
        <f>IF(B1507&lt;&gt;"",VLOOKUP(B1507,Projetos!E:F,2,0),"")</f>
        <v>3</v>
      </c>
      <c r="D1507" s="22"/>
      <c r="E1507" s="22" t="s">
        <v>40</v>
      </c>
      <c r="F1507" s="71" t="s">
        <v>876</v>
      </c>
      <c r="G1507" s="41" t="s">
        <v>66</v>
      </c>
      <c r="H1507" s="61">
        <v>45562</v>
      </c>
      <c r="I1507" s="59">
        <v>0.125</v>
      </c>
      <c r="J1507" s="117" t="s">
        <v>14</v>
      </c>
      <c r="K1507" s="22"/>
    </row>
    <row r="1508" spans="2:11" ht="30">
      <c r="B1508" s="22" t="s">
        <v>138</v>
      </c>
      <c r="C1508" s="28">
        <f>IF(B1508&lt;&gt;"",VLOOKUP(B1508,Projetos!E:F,2,0),"")</f>
        <v>30</v>
      </c>
      <c r="D1508" s="22"/>
      <c r="E1508" s="22" t="s">
        <v>26</v>
      </c>
      <c r="F1508" s="71" t="s">
        <v>877</v>
      </c>
      <c r="G1508" s="41" t="s">
        <v>34</v>
      </c>
      <c r="H1508" s="61">
        <v>45562</v>
      </c>
      <c r="I1508" s="59">
        <v>4.1666666666666664E-2</v>
      </c>
      <c r="J1508" s="117" t="s">
        <v>14</v>
      </c>
      <c r="K1508" s="22"/>
    </row>
    <row r="1509" spans="2:11" ht="30">
      <c r="B1509" s="22" t="s">
        <v>138</v>
      </c>
      <c r="C1509" s="28">
        <f>IF(B1509&lt;&gt;"",VLOOKUP(B1509,Projetos!E:F,2,0),"")</f>
        <v>30</v>
      </c>
      <c r="D1509" s="22"/>
      <c r="E1509" s="22" t="s">
        <v>31</v>
      </c>
      <c r="F1509" s="71" t="s">
        <v>878</v>
      </c>
      <c r="G1509" s="41" t="s">
        <v>34</v>
      </c>
      <c r="H1509" s="61">
        <v>45562</v>
      </c>
      <c r="I1509" s="59">
        <v>0.16666666666666666</v>
      </c>
      <c r="J1509" s="117" t="s">
        <v>14</v>
      </c>
      <c r="K1509" s="22"/>
    </row>
    <row r="1510" spans="2:11">
      <c r="B1510" s="22" t="s">
        <v>643</v>
      </c>
      <c r="C1510" s="28">
        <f>IF(B1510&lt;&gt;"",VLOOKUP(B1510,Projetos!E:F,2,0),"")</f>
        <v>52</v>
      </c>
      <c r="D1510" s="22"/>
      <c r="E1510" s="22" t="s">
        <v>21</v>
      </c>
      <c r="F1510" s="71" t="s">
        <v>867</v>
      </c>
      <c r="G1510" s="41" t="s">
        <v>525</v>
      </c>
      <c r="H1510" s="61">
        <v>45562</v>
      </c>
      <c r="I1510" s="59">
        <v>0.16666666666666666</v>
      </c>
      <c r="J1510" s="117" t="s">
        <v>14</v>
      </c>
      <c r="K1510" s="22"/>
    </row>
    <row r="1511" spans="2:11">
      <c r="B1511" s="22" t="s">
        <v>192</v>
      </c>
      <c r="C1511" s="28">
        <f>IF(B1511&lt;&gt;"",VLOOKUP(B1511,Projetos!E:F,2,0),"")</f>
        <v>32</v>
      </c>
      <c r="D1511" s="22"/>
      <c r="E1511" s="22" t="s">
        <v>193</v>
      </c>
      <c r="F1511" s="71" t="s">
        <v>866</v>
      </c>
      <c r="G1511" s="41" t="s">
        <v>525</v>
      </c>
      <c r="H1511" s="61">
        <v>45562</v>
      </c>
      <c r="I1511" s="59">
        <v>8.3333333333333329E-2</v>
      </c>
      <c r="J1511" s="117" t="s">
        <v>14</v>
      </c>
      <c r="K1511" s="22"/>
    </row>
    <row r="1512" spans="2:11" ht="30">
      <c r="B1512" s="22" t="s">
        <v>138</v>
      </c>
      <c r="C1512" s="28">
        <f>IF(B1512&lt;&gt;"",VLOOKUP(B1512,Projetos!E:F,2,0),"")</f>
        <v>30</v>
      </c>
      <c r="D1512" s="22"/>
      <c r="E1512" s="22" t="s">
        <v>16</v>
      </c>
      <c r="F1512" s="71" t="s">
        <v>879</v>
      </c>
      <c r="G1512" s="41" t="s">
        <v>34</v>
      </c>
      <c r="H1512" s="61">
        <v>45565</v>
      </c>
      <c r="I1512" s="59">
        <v>0.10416666666666667</v>
      </c>
      <c r="J1512" s="117" t="s">
        <v>14</v>
      </c>
      <c r="K1512" s="22"/>
    </row>
    <row r="1513" spans="2:11">
      <c r="B1513" s="22" t="s">
        <v>643</v>
      </c>
      <c r="C1513" s="28">
        <f>IF(B1513&lt;&gt;"",VLOOKUP(B1513,Projetos!E:F,2,0),"")</f>
        <v>52</v>
      </c>
      <c r="D1513" s="22"/>
      <c r="E1513" s="22" t="s">
        <v>23</v>
      </c>
      <c r="F1513" s="71" t="s">
        <v>880</v>
      </c>
      <c r="G1513" s="41" t="s">
        <v>525</v>
      </c>
      <c r="H1513" s="61">
        <v>45565</v>
      </c>
      <c r="I1513" s="59">
        <v>8.3333333333333329E-2</v>
      </c>
      <c r="J1513" s="117" t="s">
        <v>14</v>
      </c>
      <c r="K1513" s="22"/>
    </row>
    <row r="1514" spans="2:11" ht="30">
      <c r="B1514" s="22" t="s">
        <v>643</v>
      </c>
      <c r="C1514" s="28">
        <f>IF(B1514&lt;&gt;"",VLOOKUP(B1514,Projetos!E:F,2,0),"")</f>
        <v>52</v>
      </c>
      <c r="D1514" s="22"/>
      <c r="E1514" s="22" t="s">
        <v>23</v>
      </c>
      <c r="F1514" s="71" t="s">
        <v>881</v>
      </c>
      <c r="G1514" s="41" t="s">
        <v>525</v>
      </c>
      <c r="H1514" s="61">
        <v>45565</v>
      </c>
      <c r="I1514" s="59">
        <v>4.1666666666666664E-2</v>
      </c>
      <c r="J1514" s="117" t="s">
        <v>14</v>
      </c>
      <c r="K1514" s="22"/>
    </row>
    <row r="1515" spans="2:11">
      <c r="B1515" s="22" t="s">
        <v>488</v>
      </c>
      <c r="C1515" s="28">
        <f>IF(B1515&lt;&gt;"",VLOOKUP(B1515,Projetos!E:F,2,0),"")</f>
        <v>50</v>
      </c>
      <c r="D1515" s="22"/>
      <c r="E1515" s="22" t="s">
        <v>26</v>
      </c>
      <c r="F1515" s="71" t="s">
        <v>882</v>
      </c>
      <c r="G1515" s="41" t="s">
        <v>34</v>
      </c>
      <c r="H1515" s="61">
        <v>45565</v>
      </c>
      <c r="I1515" s="59">
        <v>4.1666666666666664E-2</v>
      </c>
      <c r="J1515" s="117" t="s">
        <v>14</v>
      </c>
      <c r="K1515" s="22"/>
    </row>
    <row r="1516" spans="2:11">
      <c r="B1516" s="22" t="s">
        <v>643</v>
      </c>
      <c r="C1516" s="28">
        <f>IF(B1516&lt;&gt;"",VLOOKUP(B1516,Projetos!E:F,2,0),"")</f>
        <v>52</v>
      </c>
      <c r="D1516" s="22"/>
      <c r="E1516" s="22" t="s">
        <v>21</v>
      </c>
      <c r="F1516" s="71" t="s">
        <v>867</v>
      </c>
      <c r="G1516" s="41" t="s">
        <v>528</v>
      </c>
      <c r="H1516" s="61">
        <v>45562</v>
      </c>
      <c r="I1516" s="59">
        <v>8.3333333333333329E-2</v>
      </c>
      <c r="J1516" s="117" t="s">
        <v>14</v>
      </c>
      <c r="K1516" s="22"/>
    </row>
    <row r="1517" spans="2:11" ht="30">
      <c r="B1517" s="22" t="s">
        <v>488</v>
      </c>
      <c r="C1517" s="28">
        <f>IF(B1517&lt;&gt;"",VLOOKUP(B1517,Projetos!E:F,2,0),"")</f>
        <v>50</v>
      </c>
      <c r="D1517" s="22"/>
      <c r="E1517" s="22" t="s">
        <v>23</v>
      </c>
      <c r="F1517" s="71" t="s">
        <v>883</v>
      </c>
      <c r="G1517" s="41" t="s">
        <v>20</v>
      </c>
      <c r="H1517" s="61">
        <v>45562</v>
      </c>
      <c r="I1517" s="59">
        <v>0.25</v>
      </c>
      <c r="J1517" s="117" t="s">
        <v>14</v>
      </c>
      <c r="K1517" s="22"/>
    </row>
    <row r="1518" spans="2:11">
      <c r="B1518" s="22" t="s">
        <v>192</v>
      </c>
      <c r="C1518" s="28">
        <f>IF(B1518&lt;&gt;"",VLOOKUP(B1518,Projetos!E:F,2,0),"")</f>
        <v>32</v>
      </c>
      <c r="D1518" s="22"/>
      <c r="E1518" s="22" t="s">
        <v>193</v>
      </c>
      <c r="F1518" s="71" t="s">
        <v>884</v>
      </c>
      <c r="G1518" s="41" t="s">
        <v>528</v>
      </c>
      <c r="H1518" s="61">
        <v>45562</v>
      </c>
      <c r="I1518" s="59">
        <v>0.125</v>
      </c>
      <c r="J1518" s="117" t="s">
        <v>14</v>
      </c>
      <c r="K1518" s="22"/>
    </row>
    <row r="1519" spans="2:11">
      <c r="B1519" s="22" t="s">
        <v>643</v>
      </c>
      <c r="C1519" s="28">
        <f>IF(B1519&lt;&gt;"",VLOOKUP(B1519,Projetos!E:F,2,0),"")</f>
        <v>52</v>
      </c>
      <c r="D1519" s="22"/>
      <c r="E1519" s="22" t="s">
        <v>21</v>
      </c>
      <c r="F1519" s="71" t="s">
        <v>885</v>
      </c>
      <c r="G1519" s="41" t="s">
        <v>528</v>
      </c>
      <c r="H1519" s="61">
        <v>45565</v>
      </c>
      <c r="I1519" s="59">
        <v>0.20833333333333334</v>
      </c>
      <c r="J1519" s="117" t="s">
        <v>14</v>
      </c>
      <c r="K1519" s="22"/>
    </row>
    <row r="1520" spans="2:11" ht="45">
      <c r="B1520" s="22" t="s">
        <v>643</v>
      </c>
      <c r="C1520" s="28">
        <f>IF(B1520&lt;&gt;"",VLOOKUP(B1520,Projetos!E:F,2,0),"")</f>
        <v>52</v>
      </c>
      <c r="D1520" s="22"/>
      <c r="E1520" s="22" t="s">
        <v>21</v>
      </c>
      <c r="F1520" s="71" t="s">
        <v>886</v>
      </c>
      <c r="G1520" s="41" t="s">
        <v>19</v>
      </c>
      <c r="H1520" s="61">
        <v>45565</v>
      </c>
      <c r="I1520" s="59">
        <v>0.33333333333333331</v>
      </c>
      <c r="J1520" s="117" t="s">
        <v>14</v>
      </c>
      <c r="K1520" s="22"/>
    </row>
    <row r="1521" spans="2:11">
      <c r="B1521" s="22" t="s">
        <v>788</v>
      </c>
      <c r="C1521" s="28">
        <f>IF(B1521&lt;&gt;"",VLOOKUP(B1521,Projetos!E:F,2,0),"")</f>
        <v>55</v>
      </c>
      <c r="D1521" s="22"/>
      <c r="E1521" s="22" t="s">
        <v>31</v>
      </c>
      <c r="F1521" s="71" t="s">
        <v>887</v>
      </c>
      <c r="G1521" s="41" t="s">
        <v>34</v>
      </c>
      <c r="H1521" s="61">
        <v>45565</v>
      </c>
      <c r="I1521" s="59">
        <v>0.16666666666666666</v>
      </c>
      <c r="J1521" s="117" t="s">
        <v>14</v>
      </c>
      <c r="K1521" s="22"/>
    </row>
    <row r="1522" spans="2:11">
      <c r="B1522" s="22" t="s">
        <v>138</v>
      </c>
      <c r="C1522" s="28">
        <f>IF(B1522&lt;&gt;"",VLOOKUP(B1522,Projetos!E:F,2,0),"")</f>
        <v>30</v>
      </c>
      <c r="D1522" s="22"/>
      <c r="E1522" s="22" t="s">
        <v>16</v>
      </c>
      <c r="F1522" s="71" t="s">
        <v>888</v>
      </c>
      <c r="G1522" s="41" t="s">
        <v>42</v>
      </c>
      <c r="H1522" s="61">
        <v>45565</v>
      </c>
      <c r="I1522" s="59">
        <v>0.125</v>
      </c>
      <c r="J1522" s="117" t="s">
        <v>14</v>
      </c>
      <c r="K1522" s="22"/>
    </row>
    <row r="1523" spans="2:11">
      <c r="B1523" s="22" t="s">
        <v>788</v>
      </c>
      <c r="C1523" s="28">
        <f>IF(B1523&lt;&gt;"",VLOOKUP(B1523,Projetos!E:F,2,0),"")</f>
        <v>55</v>
      </c>
      <c r="D1523" s="22"/>
      <c r="E1523" s="22" t="s">
        <v>40</v>
      </c>
      <c r="F1523" s="71" t="s">
        <v>889</v>
      </c>
      <c r="G1523" s="41" t="s">
        <v>42</v>
      </c>
      <c r="H1523" s="61">
        <v>45565</v>
      </c>
      <c r="I1523" s="59">
        <v>0.16666666666666666</v>
      </c>
      <c r="J1523" s="117" t="s">
        <v>14</v>
      </c>
      <c r="K1523" s="22"/>
    </row>
    <row r="1524" spans="2:11">
      <c r="B1524" s="22" t="s">
        <v>788</v>
      </c>
      <c r="C1524" s="28">
        <f>IF(B1524&lt;&gt;"",VLOOKUP(B1524,Projetos!E:F,2,0),"")</f>
        <v>55</v>
      </c>
      <c r="D1524" s="22"/>
      <c r="E1524" s="22" t="s">
        <v>40</v>
      </c>
      <c r="F1524" s="71" t="s">
        <v>889</v>
      </c>
      <c r="G1524" s="41" t="s">
        <v>42</v>
      </c>
      <c r="H1524" s="61">
        <v>45566</v>
      </c>
      <c r="I1524" s="59">
        <v>0.29166666666666669</v>
      </c>
      <c r="J1524" s="117" t="s">
        <v>14</v>
      </c>
      <c r="K1524" s="22"/>
    </row>
    <row r="1525" spans="2:11">
      <c r="B1525" s="22" t="s">
        <v>192</v>
      </c>
      <c r="C1525" s="28">
        <f>IF(B1525&lt;&gt;"",VLOOKUP(B1525,Projetos!E:F,2,0),"")</f>
        <v>32</v>
      </c>
      <c r="D1525" s="22"/>
      <c r="E1525" s="22" t="s">
        <v>193</v>
      </c>
      <c r="F1525" s="71" t="s">
        <v>845</v>
      </c>
      <c r="G1525" s="41" t="s">
        <v>64</v>
      </c>
      <c r="H1525" s="61">
        <v>45562</v>
      </c>
      <c r="I1525" s="59">
        <v>4.1666666666666664E-2</v>
      </c>
      <c r="J1525" s="117" t="s">
        <v>14</v>
      </c>
      <c r="K1525" s="22"/>
    </row>
    <row r="1526" spans="2:11">
      <c r="B1526" s="22" t="s">
        <v>136</v>
      </c>
      <c r="C1526" s="28">
        <f>IF(B1526&lt;&gt;"",VLOOKUP(B1526,Projetos!E:F,2,0),"")</f>
        <v>25</v>
      </c>
      <c r="D1526" s="22"/>
      <c r="E1526" s="22" t="s">
        <v>49</v>
      </c>
      <c r="F1526" s="71" t="s">
        <v>890</v>
      </c>
      <c r="G1526" s="41" t="s">
        <v>64</v>
      </c>
      <c r="H1526" s="61">
        <v>45562</v>
      </c>
      <c r="I1526" s="59">
        <v>0.125</v>
      </c>
      <c r="J1526" s="117" t="s">
        <v>14</v>
      </c>
      <c r="K1526" s="22"/>
    </row>
    <row r="1527" spans="2:11">
      <c r="B1527" s="22" t="s">
        <v>192</v>
      </c>
      <c r="C1527" s="28">
        <f>IF(B1527&lt;&gt;"",VLOOKUP(B1527,Projetos!E:F,2,0),"")</f>
        <v>32</v>
      </c>
      <c r="D1527" s="22"/>
      <c r="E1527" s="22" t="s">
        <v>193</v>
      </c>
      <c r="F1527" s="71" t="s">
        <v>891</v>
      </c>
      <c r="G1527" s="41" t="s">
        <v>64</v>
      </c>
      <c r="H1527" s="61">
        <v>45562</v>
      </c>
      <c r="I1527" s="59">
        <v>0.16666666666666666</v>
      </c>
      <c r="J1527" s="117" t="s">
        <v>14</v>
      </c>
      <c r="K1527" s="22"/>
    </row>
    <row r="1528" spans="2:11">
      <c r="B1528" s="22" t="s">
        <v>138</v>
      </c>
      <c r="C1528" s="28">
        <f>IF(B1528&lt;&gt;"",VLOOKUP(B1528,Projetos!E:F,2,0),"")</f>
        <v>30</v>
      </c>
      <c r="D1528" s="22"/>
      <c r="E1528" s="22" t="s">
        <v>16</v>
      </c>
      <c r="F1528" s="71" t="s">
        <v>888</v>
      </c>
      <c r="G1528" s="41" t="s">
        <v>64</v>
      </c>
      <c r="H1528" s="61">
        <v>45565</v>
      </c>
      <c r="I1528" s="59">
        <v>6.25E-2</v>
      </c>
      <c r="J1528" s="117" t="s">
        <v>14</v>
      </c>
      <c r="K1528" s="22"/>
    </row>
    <row r="1529" spans="2:11">
      <c r="B1529" s="22" t="s">
        <v>140</v>
      </c>
      <c r="C1529" s="28">
        <f>IF(B1529&lt;&gt;"",VLOOKUP(B1529,Projetos!E:F,2,0),"")</f>
        <v>39</v>
      </c>
      <c r="D1529" s="22"/>
      <c r="E1529" s="22" t="s">
        <v>23</v>
      </c>
      <c r="F1529" s="71" t="s">
        <v>892</v>
      </c>
      <c r="G1529" s="41" t="s">
        <v>64</v>
      </c>
      <c r="H1529" s="61">
        <v>45565</v>
      </c>
      <c r="I1529" s="59">
        <v>0.125</v>
      </c>
      <c r="J1529" s="117" t="s">
        <v>14</v>
      </c>
      <c r="K1529" s="22"/>
    </row>
    <row r="1530" spans="2:11">
      <c r="B1530" s="22" t="s">
        <v>192</v>
      </c>
      <c r="C1530" s="28">
        <f>IF(B1530&lt;&gt;"",VLOOKUP(B1530,Projetos!E:F,2,0),"")</f>
        <v>32</v>
      </c>
      <c r="D1530" s="22"/>
      <c r="E1530" s="22" t="s">
        <v>193</v>
      </c>
      <c r="F1530" s="71" t="s">
        <v>845</v>
      </c>
      <c r="G1530" s="41" t="s">
        <v>64</v>
      </c>
      <c r="H1530" s="61">
        <v>45565</v>
      </c>
      <c r="I1530" s="59">
        <v>6.9444444444444448E-2</v>
      </c>
      <c r="J1530" s="117" t="s">
        <v>14</v>
      </c>
      <c r="K1530" s="22"/>
    </row>
    <row r="1531" spans="2:11">
      <c r="B1531" s="22" t="s">
        <v>192</v>
      </c>
      <c r="C1531" s="28">
        <f>IF(B1531&lt;&gt;"",VLOOKUP(B1531,Projetos!E:F,2,0),"")</f>
        <v>32</v>
      </c>
      <c r="D1531" s="22"/>
      <c r="E1531" s="22" t="s">
        <v>193</v>
      </c>
      <c r="F1531" s="71" t="s">
        <v>845</v>
      </c>
      <c r="G1531" s="41" t="s">
        <v>20</v>
      </c>
      <c r="H1531" s="61">
        <v>45565</v>
      </c>
      <c r="I1531" s="59">
        <v>0.125</v>
      </c>
      <c r="J1531" s="117" t="s">
        <v>14</v>
      </c>
      <c r="K1531" s="22"/>
    </row>
    <row r="1532" spans="2:11">
      <c r="B1532" s="22" t="s">
        <v>138</v>
      </c>
      <c r="C1532" s="28">
        <f>IF(B1532&lt;&gt;"",VLOOKUP(B1532,Projetos!E:F,2,0),"")</f>
        <v>30</v>
      </c>
      <c r="D1532" s="22"/>
      <c r="E1532" s="22" t="s">
        <v>16</v>
      </c>
      <c r="F1532" s="71" t="s">
        <v>893</v>
      </c>
      <c r="G1532" s="41" t="s">
        <v>20</v>
      </c>
      <c r="H1532" s="61">
        <v>45565</v>
      </c>
      <c r="I1532" s="59">
        <v>0.125</v>
      </c>
      <c r="J1532" s="117" t="s">
        <v>14</v>
      </c>
      <c r="K1532" s="22"/>
    </row>
    <row r="1533" spans="2:11">
      <c r="B1533" s="22" t="s">
        <v>788</v>
      </c>
      <c r="C1533" s="28">
        <f>IF(B1533&lt;&gt;"",VLOOKUP(B1533,Projetos!E:F,2,0),"")</f>
        <v>55</v>
      </c>
      <c r="D1533" s="22"/>
      <c r="E1533" s="22" t="s">
        <v>23</v>
      </c>
      <c r="F1533" s="71" t="s">
        <v>894</v>
      </c>
      <c r="G1533" s="41" t="s">
        <v>20</v>
      </c>
      <c r="H1533" s="61">
        <v>45566</v>
      </c>
      <c r="I1533" s="59">
        <v>0.16666666666666666</v>
      </c>
      <c r="J1533" s="117" t="s">
        <v>14</v>
      </c>
      <c r="K1533" s="22"/>
    </row>
    <row r="1534" spans="2:11">
      <c r="B1534" s="22" t="s">
        <v>140</v>
      </c>
      <c r="C1534" s="28">
        <f>IF(B1534&lt;&gt;"",VLOOKUP(B1534,Projetos!E:F,2,0),"")</f>
        <v>39</v>
      </c>
      <c r="D1534" s="22"/>
      <c r="E1534" s="22" t="s">
        <v>158</v>
      </c>
      <c r="F1534" s="71" t="s">
        <v>895</v>
      </c>
      <c r="G1534" s="41" t="s">
        <v>19</v>
      </c>
      <c r="H1534" s="61">
        <v>45566</v>
      </c>
      <c r="I1534" s="59">
        <v>0.29166666666666669</v>
      </c>
      <c r="J1534" s="117" t="s">
        <v>14</v>
      </c>
      <c r="K1534" s="22"/>
    </row>
    <row r="1535" spans="2:11">
      <c r="B1535" s="22" t="s">
        <v>140</v>
      </c>
      <c r="C1535" s="28">
        <f>IF(B1535&lt;&gt;"",VLOOKUP(B1534,Projetos!E:F,2,0),"")</f>
        <v>39</v>
      </c>
      <c r="D1535" s="22"/>
      <c r="E1535" s="22" t="s">
        <v>31</v>
      </c>
      <c r="F1535" s="71" t="s">
        <v>896</v>
      </c>
      <c r="G1535" s="41" t="s">
        <v>34</v>
      </c>
      <c r="H1535" s="61">
        <v>45566</v>
      </c>
      <c r="I1535" s="59">
        <v>0.125</v>
      </c>
      <c r="J1535" s="117" t="s">
        <v>14</v>
      </c>
      <c r="K1535" s="22"/>
    </row>
    <row r="1536" spans="2:11">
      <c r="B1536" s="22" t="s">
        <v>788</v>
      </c>
      <c r="C1536" s="28">
        <f>IF(B1536&lt;&gt;"",VLOOKUP(B1536,Projetos!E:F,2,0),"")</f>
        <v>55</v>
      </c>
      <c r="D1536" s="22"/>
      <c r="E1536" s="22" t="s">
        <v>31</v>
      </c>
      <c r="F1536" s="71" t="s">
        <v>897</v>
      </c>
      <c r="G1536" s="41" t="s">
        <v>34</v>
      </c>
      <c r="H1536" s="61">
        <v>45566</v>
      </c>
      <c r="I1536" s="59">
        <v>0.125</v>
      </c>
      <c r="J1536" s="117" t="s">
        <v>14</v>
      </c>
      <c r="K1536" s="22"/>
    </row>
    <row r="1537" spans="2:11">
      <c r="B1537" s="22" t="s">
        <v>192</v>
      </c>
      <c r="C1537" s="28">
        <f>IF(B1537&lt;&gt;"",VLOOKUP(B1537,Projetos!E:F,2,0),"")</f>
        <v>32</v>
      </c>
      <c r="D1537" s="22"/>
      <c r="E1537" s="22" t="s">
        <v>193</v>
      </c>
      <c r="F1537" s="71" t="s">
        <v>898</v>
      </c>
      <c r="G1537" s="41" t="s">
        <v>34</v>
      </c>
      <c r="H1537" s="61">
        <v>45566</v>
      </c>
      <c r="I1537" s="59">
        <v>8.3333333333333329E-2</v>
      </c>
      <c r="J1537" s="117" t="s">
        <v>14</v>
      </c>
      <c r="K1537" s="22"/>
    </row>
    <row r="1538" spans="2:11">
      <c r="B1538" s="22" t="s">
        <v>643</v>
      </c>
      <c r="C1538" s="28">
        <f>IF(B1538&lt;&gt;"",VLOOKUP(B1538,Projetos!E:F,2,0),"")</f>
        <v>52</v>
      </c>
      <c r="D1538" s="22"/>
      <c r="E1538" s="22" t="s">
        <v>21</v>
      </c>
      <c r="F1538" s="71" t="s">
        <v>899</v>
      </c>
      <c r="G1538" s="41" t="s">
        <v>528</v>
      </c>
      <c r="H1538" s="61">
        <v>45566</v>
      </c>
      <c r="I1538" s="59">
        <v>0.20833333333333334</v>
      </c>
      <c r="J1538" s="117" t="s">
        <v>14</v>
      </c>
      <c r="K1538" s="22"/>
    </row>
    <row r="1539" spans="2:11">
      <c r="B1539" s="22" t="s">
        <v>788</v>
      </c>
      <c r="C1539" s="28">
        <f>IF(B1539&lt;&gt;"",VLOOKUP(B1539,Projetos!E:F,2,0),"")</f>
        <v>55</v>
      </c>
      <c r="D1539" s="22"/>
      <c r="E1539" s="22" t="s">
        <v>40</v>
      </c>
      <c r="F1539" s="71" t="s">
        <v>889</v>
      </c>
      <c r="G1539" s="41" t="s">
        <v>42</v>
      </c>
      <c r="H1539" s="61">
        <v>45566</v>
      </c>
      <c r="I1539" s="59"/>
      <c r="J1539" s="117" t="s">
        <v>900</v>
      </c>
      <c r="K1539" s="22"/>
    </row>
    <row r="1540" spans="2:11">
      <c r="B1540" s="22" t="s">
        <v>788</v>
      </c>
      <c r="C1540" s="28">
        <f>IF(B1540&lt;&gt;"",VLOOKUP(B1540,Projetos!E:F,2,0),"")</f>
        <v>55</v>
      </c>
      <c r="D1540" s="22"/>
      <c r="E1540" s="22" t="s">
        <v>31</v>
      </c>
      <c r="F1540" s="71" t="s">
        <v>901</v>
      </c>
      <c r="G1540" s="41" t="s">
        <v>34</v>
      </c>
      <c r="H1540" s="61">
        <v>45567</v>
      </c>
      <c r="I1540" s="59">
        <v>0.16666666666666666</v>
      </c>
      <c r="J1540" s="117" t="s">
        <v>14</v>
      </c>
      <c r="K1540" s="22"/>
    </row>
    <row r="1541" spans="2:11">
      <c r="B1541" s="22" t="s">
        <v>138</v>
      </c>
      <c r="C1541" s="28">
        <f>IF(B1541&lt;&gt;"",VLOOKUP(B1541,Projetos!E:F,2,0),"")</f>
        <v>30</v>
      </c>
      <c r="D1541" s="22"/>
      <c r="E1541" s="22" t="s">
        <v>16</v>
      </c>
      <c r="F1541" s="71" t="s">
        <v>902</v>
      </c>
      <c r="G1541" s="41" t="s">
        <v>64</v>
      </c>
      <c r="H1541" s="61">
        <v>45566</v>
      </c>
      <c r="I1541" s="59">
        <v>8.3333333333333329E-2</v>
      </c>
      <c r="J1541" s="117" t="s">
        <v>14</v>
      </c>
      <c r="K1541" s="22"/>
    </row>
    <row r="1542" spans="2:11">
      <c r="B1542" s="22" t="s">
        <v>843</v>
      </c>
      <c r="C1542" s="28">
        <f>IF(B1542&lt;&gt;"",VLOOKUP(B1542,Projetos!E:F,2,0),"")</f>
        <v>56</v>
      </c>
      <c r="D1542" s="22"/>
      <c r="E1542" s="22" t="s">
        <v>49</v>
      </c>
      <c r="F1542" s="71" t="s">
        <v>903</v>
      </c>
      <c r="G1542" s="41" t="s">
        <v>64</v>
      </c>
      <c r="H1542" s="61">
        <v>45566</v>
      </c>
      <c r="I1542" s="59">
        <v>0.16666666666666666</v>
      </c>
      <c r="J1542" s="117" t="s">
        <v>14</v>
      </c>
      <c r="K1542" s="22"/>
    </row>
    <row r="1543" spans="2:11">
      <c r="B1543" s="22" t="s">
        <v>192</v>
      </c>
      <c r="C1543" s="28">
        <f>IF(B1543&lt;&gt;"",VLOOKUP(B1543,Projetos!E:F,2,0),"")</f>
        <v>32</v>
      </c>
      <c r="D1543" s="22"/>
      <c r="E1543" s="22" t="s">
        <v>193</v>
      </c>
      <c r="F1543" s="71" t="s">
        <v>904</v>
      </c>
      <c r="G1543" s="41" t="s">
        <v>64</v>
      </c>
      <c r="H1543" s="61">
        <v>45566</v>
      </c>
      <c r="I1543" s="59">
        <v>8.3333333333333329E-2</v>
      </c>
      <c r="J1543" s="117" t="s">
        <v>14</v>
      </c>
      <c r="K1543" s="22"/>
    </row>
    <row r="1544" spans="2:11" ht="30">
      <c r="B1544" s="22" t="s">
        <v>643</v>
      </c>
      <c r="C1544" s="28">
        <f>IF(B1544&lt;&gt;"",VLOOKUP(B1544,Projetos!E:F,2,0),"")</f>
        <v>52</v>
      </c>
      <c r="D1544" s="22"/>
      <c r="E1544" s="22" t="s">
        <v>144</v>
      </c>
      <c r="F1544" s="71" t="s">
        <v>905</v>
      </c>
      <c r="G1544" s="41" t="s">
        <v>19</v>
      </c>
      <c r="H1544" s="61">
        <v>45567</v>
      </c>
      <c r="I1544" s="59">
        <v>0.29166666666666669</v>
      </c>
      <c r="J1544" s="117" t="s">
        <v>14</v>
      </c>
      <c r="K1544" s="22"/>
    </row>
    <row r="1545" spans="2:11">
      <c r="B1545" s="22" t="s">
        <v>643</v>
      </c>
      <c r="C1545" s="28">
        <f>IF(B1545&lt;&gt;"",VLOOKUP(B1545,Projetos!E:F,2,0),"")</f>
        <v>52</v>
      </c>
      <c r="D1545" s="22"/>
      <c r="E1545" s="22" t="s">
        <v>144</v>
      </c>
      <c r="F1545" s="71" t="s">
        <v>906</v>
      </c>
      <c r="G1545" s="41" t="s">
        <v>525</v>
      </c>
      <c r="H1545" s="61">
        <v>45567</v>
      </c>
      <c r="I1545" s="59">
        <v>0.16666666666666666</v>
      </c>
      <c r="J1545" s="117" t="s">
        <v>14</v>
      </c>
      <c r="K1545" s="22"/>
    </row>
    <row r="1546" spans="2:11">
      <c r="B1546" s="22" t="s">
        <v>643</v>
      </c>
      <c r="C1546" s="28">
        <f>IF(B1546&lt;&gt;"",VLOOKUP(B1546,Projetos!E:F,2,0),"")</f>
        <v>52</v>
      </c>
      <c r="D1546" s="22"/>
      <c r="E1546" s="22" t="s">
        <v>144</v>
      </c>
      <c r="F1546" s="71" t="s">
        <v>907</v>
      </c>
      <c r="G1546" s="41" t="s">
        <v>525</v>
      </c>
      <c r="H1546" s="61">
        <v>45567</v>
      </c>
      <c r="I1546" s="59">
        <v>8.3333333333333329E-2</v>
      </c>
      <c r="J1546" s="117" t="s">
        <v>14</v>
      </c>
      <c r="K1546" s="22"/>
    </row>
    <row r="1547" spans="2:11">
      <c r="B1547" s="22" t="s">
        <v>643</v>
      </c>
      <c r="C1547" s="28">
        <f>IF(B1547&lt;&gt;"",VLOOKUP(B1547,Projetos!E:F,2,0),"")</f>
        <v>52</v>
      </c>
      <c r="D1547" s="22"/>
      <c r="E1547" s="22" t="s">
        <v>144</v>
      </c>
      <c r="F1547" s="71" t="s">
        <v>908</v>
      </c>
      <c r="G1547" s="41" t="s">
        <v>528</v>
      </c>
      <c r="H1547" s="61">
        <v>45567</v>
      </c>
      <c r="I1547" s="59">
        <v>0.20833333333333334</v>
      </c>
      <c r="J1547" s="117" t="s">
        <v>14</v>
      </c>
      <c r="K1547" s="22"/>
    </row>
    <row r="1548" spans="2:11">
      <c r="B1548" s="22" t="s">
        <v>192</v>
      </c>
      <c r="C1548" s="28">
        <f>IF(B1548&lt;&gt;"",VLOOKUP(B1548,Projetos!E:F,2,0),"")</f>
        <v>32</v>
      </c>
      <c r="D1548" s="22"/>
      <c r="E1548" s="22" t="s">
        <v>193</v>
      </c>
      <c r="F1548" s="71" t="s">
        <v>909</v>
      </c>
      <c r="G1548" s="41" t="s">
        <v>34</v>
      </c>
      <c r="H1548" s="61">
        <v>45567</v>
      </c>
      <c r="I1548" s="59">
        <v>0.16666666666666666</v>
      </c>
      <c r="J1548" s="117" t="s">
        <v>14</v>
      </c>
      <c r="K1548" s="22"/>
    </row>
    <row r="1549" spans="2:11" ht="30">
      <c r="B1549" s="22" t="s">
        <v>788</v>
      </c>
      <c r="C1549" s="28">
        <f>IF(B1549&lt;&gt;"",VLOOKUP(B1549,Projetos!E:F,2,0),"")</f>
        <v>55</v>
      </c>
      <c r="D1549" s="22"/>
      <c r="E1549" s="22" t="s">
        <v>16</v>
      </c>
      <c r="F1549" s="71" t="s">
        <v>910</v>
      </c>
      <c r="G1549" s="41" t="s">
        <v>20</v>
      </c>
      <c r="H1549" s="61">
        <v>45567</v>
      </c>
      <c r="I1549" s="59">
        <v>0.22916666666666666</v>
      </c>
      <c r="J1549" s="117" t="s">
        <v>14</v>
      </c>
      <c r="K1549" s="22"/>
    </row>
    <row r="1550" spans="2:11">
      <c r="B1550" s="22" t="s">
        <v>488</v>
      </c>
      <c r="C1550" s="28">
        <f>IF(B1550&lt;&gt;"",VLOOKUP(B1550,Projetos!E:F,2,0),"")</f>
        <v>50</v>
      </c>
      <c r="D1550" s="22"/>
      <c r="E1550" s="22" t="s">
        <v>16</v>
      </c>
      <c r="F1550" s="71" t="s">
        <v>911</v>
      </c>
      <c r="G1550" s="41" t="s">
        <v>20</v>
      </c>
      <c r="H1550" s="61">
        <v>45568</v>
      </c>
      <c r="I1550" s="59">
        <v>0.125</v>
      </c>
      <c r="J1550" s="117" t="s">
        <v>14</v>
      </c>
      <c r="K1550" s="22"/>
    </row>
    <row r="1551" spans="2:11">
      <c r="B1551" s="22" t="s">
        <v>488</v>
      </c>
      <c r="C1551" s="28">
        <f>IF(B1551&lt;&gt;"",VLOOKUP(B1551,Projetos!E:F,2,0),"")</f>
        <v>50</v>
      </c>
      <c r="D1551" s="22"/>
      <c r="E1551" s="22" t="s">
        <v>31</v>
      </c>
      <c r="F1551" s="71" t="s">
        <v>912</v>
      </c>
      <c r="G1551" s="41" t="s">
        <v>20</v>
      </c>
      <c r="H1551" s="61">
        <v>45568</v>
      </c>
      <c r="I1551" s="59">
        <v>0.125</v>
      </c>
      <c r="J1551" s="117" t="s">
        <v>14</v>
      </c>
      <c r="K1551" s="22"/>
    </row>
    <row r="1552" spans="2:11" ht="30">
      <c r="B1552" s="22" t="s">
        <v>138</v>
      </c>
      <c r="C1552" s="28">
        <f>IF(B1552&lt;&gt;"",VLOOKUP(B1552,Projetos!E:F,2,0),"")</f>
        <v>30</v>
      </c>
      <c r="D1552" s="22"/>
      <c r="E1552" s="22" t="s">
        <v>31</v>
      </c>
      <c r="F1552" s="71" t="s">
        <v>913</v>
      </c>
      <c r="G1552" s="41" t="s">
        <v>34</v>
      </c>
      <c r="H1552" s="61">
        <v>45568</v>
      </c>
      <c r="I1552" s="59">
        <v>0.125</v>
      </c>
      <c r="J1552" s="117" t="s">
        <v>14</v>
      </c>
      <c r="K1552" s="22"/>
    </row>
    <row r="1553" spans="2:11" ht="30">
      <c r="B1553" s="22" t="s">
        <v>488</v>
      </c>
      <c r="C1553" s="28">
        <f>IF(B1553&lt;&gt;"",VLOOKUP(B1553,Projetos!E:F,2,0),"")</f>
        <v>50</v>
      </c>
      <c r="D1553" s="22"/>
      <c r="E1553" s="22" t="s">
        <v>26</v>
      </c>
      <c r="F1553" s="71" t="s">
        <v>914</v>
      </c>
      <c r="G1553" s="41" t="s">
        <v>34</v>
      </c>
      <c r="H1553" s="61">
        <v>45568</v>
      </c>
      <c r="I1553" s="59">
        <v>4.1666666666666664E-2</v>
      </c>
      <c r="J1553" s="117" t="s">
        <v>14</v>
      </c>
      <c r="K1553" s="22"/>
    </row>
    <row r="1554" spans="2:11">
      <c r="B1554" s="22" t="s">
        <v>140</v>
      </c>
      <c r="C1554" s="28">
        <f>IF(B1554&lt;&gt;"",VLOOKUP(B1554,Projetos!E:F,2,0),"")</f>
        <v>39</v>
      </c>
      <c r="D1554" s="22"/>
      <c r="E1554" s="22" t="s">
        <v>158</v>
      </c>
      <c r="F1554" s="71" t="s">
        <v>915</v>
      </c>
      <c r="G1554" s="41" t="s">
        <v>64</v>
      </c>
      <c r="H1554" s="61">
        <v>45567</v>
      </c>
      <c r="I1554" s="59">
        <v>4.1666666666666664E-2</v>
      </c>
      <c r="J1554" s="117" t="s">
        <v>14</v>
      </c>
      <c r="K1554" s="22"/>
    </row>
    <row r="1555" spans="2:11">
      <c r="B1555" s="22" t="s">
        <v>136</v>
      </c>
      <c r="C1555" s="28">
        <f>IF(B1555&lt;&gt;"",VLOOKUP(B1555,Projetos!E:F,2,0),"")</f>
        <v>25</v>
      </c>
      <c r="D1555" s="22"/>
      <c r="E1555" s="22" t="s">
        <v>49</v>
      </c>
      <c r="F1555" s="71" t="s">
        <v>916</v>
      </c>
      <c r="G1555" s="41" t="s">
        <v>64</v>
      </c>
      <c r="H1555" s="61">
        <v>45567</v>
      </c>
      <c r="I1555" s="59">
        <v>0.16666666666666666</v>
      </c>
      <c r="J1555" s="117" t="s">
        <v>14</v>
      </c>
      <c r="K1555" s="22"/>
    </row>
    <row r="1556" spans="2:11">
      <c r="B1556" s="22" t="s">
        <v>136</v>
      </c>
      <c r="C1556" s="28">
        <f>IF(B1556&lt;&gt;"",VLOOKUP(B1556,Projetos!E:F,2,0),"")</f>
        <v>25</v>
      </c>
      <c r="D1556" s="22"/>
      <c r="E1556" s="22" t="s">
        <v>49</v>
      </c>
      <c r="F1556" s="71" t="s">
        <v>917</v>
      </c>
      <c r="G1556" s="41" t="s">
        <v>64</v>
      </c>
      <c r="H1556" s="61">
        <v>45567</v>
      </c>
      <c r="I1556" s="59">
        <v>0.125</v>
      </c>
      <c r="J1556" s="117" t="s">
        <v>14</v>
      </c>
      <c r="K1556" s="22"/>
    </row>
    <row r="1557" spans="2:11" ht="45">
      <c r="B1557" s="22" t="s">
        <v>138</v>
      </c>
      <c r="C1557" s="28">
        <f>IF(B1557&lt;&gt;"",VLOOKUP(B1557,Projetos!E:F,2,0),"")</f>
        <v>30</v>
      </c>
      <c r="D1557" s="22"/>
      <c r="E1557" s="22" t="s">
        <v>25</v>
      </c>
      <c r="F1557" s="71" t="s">
        <v>918</v>
      </c>
      <c r="G1557" s="41" t="s">
        <v>64</v>
      </c>
      <c r="H1557" s="61">
        <v>45568</v>
      </c>
      <c r="I1557" s="59">
        <v>5.2083333333333336E-2</v>
      </c>
      <c r="J1557" s="117" t="s">
        <v>14</v>
      </c>
      <c r="K1557" s="22"/>
    </row>
    <row r="1558" spans="2:11">
      <c r="B1558" s="22" t="s">
        <v>488</v>
      </c>
      <c r="C1558" s="28">
        <f>IF(B1558&lt;&gt;"",VLOOKUP(B1558,Projetos!E:F,2,0),"")</f>
        <v>50</v>
      </c>
      <c r="D1558" s="22"/>
      <c r="E1558" s="22" t="s">
        <v>26</v>
      </c>
      <c r="F1558" s="71" t="s">
        <v>919</v>
      </c>
      <c r="G1558" s="41" t="s">
        <v>34</v>
      </c>
      <c r="H1558" s="61">
        <v>45568</v>
      </c>
      <c r="I1558" s="59">
        <v>4.1666666666666664E-2</v>
      </c>
      <c r="J1558" s="117" t="s">
        <v>14</v>
      </c>
      <c r="K1558" s="22"/>
    </row>
    <row r="1559" spans="2:11">
      <c r="B1559" s="22" t="s">
        <v>136</v>
      </c>
      <c r="C1559" s="28">
        <f>IF(B1559&lt;&gt;"",VLOOKUP(B1559,Projetos!E:F,2,0),"")</f>
        <v>25</v>
      </c>
      <c r="D1559" s="22"/>
      <c r="E1559" s="22" t="s">
        <v>49</v>
      </c>
      <c r="F1559" s="71" t="s">
        <v>917</v>
      </c>
      <c r="G1559" s="41" t="s">
        <v>64</v>
      </c>
      <c r="H1559" s="61">
        <v>45568</v>
      </c>
      <c r="I1559" s="59">
        <v>0.28125</v>
      </c>
      <c r="J1559" s="117" t="s">
        <v>14</v>
      </c>
      <c r="K1559" s="22"/>
    </row>
    <row r="1560" spans="2:11" ht="30">
      <c r="B1560" s="22" t="s">
        <v>643</v>
      </c>
      <c r="C1560" s="28">
        <f>IF(B1560&lt;&gt;"",VLOOKUP(B1560,Projetos!E:F,2,0),"")</f>
        <v>52</v>
      </c>
      <c r="D1560" s="22"/>
      <c r="E1560" s="22" t="s">
        <v>158</v>
      </c>
      <c r="F1560" s="71" t="s">
        <v>920</v>
      </c>
      <c r="G1560" s="41" t="s">
        <v>19</v>
      </c>
      <c r="H1560" s="61">
        <v>45568</v>
      </c>
      <c r="I1560" s="59">
        <v>0.29166666666666669</v>
      </c>
      <c r="J1560" s="117" t="s">
        <v>14</v>
      </c>
      <c r="K1560" s="22"/>
    </row>
    <row r="1561" spans="2:11">
      <c r="B1561" s="22" t="s">
        <v>192</v>
      </c>
      <c r="C1561" s="28">
        <f>IF(B1561&lt;&gt;"",VLOOKUP(B1561,Projetos!E:F,2,0),"")</f>
        <v>32</v>
      </c>
      <c r="D1561" s="22"/>
      <c r="E1561" s="22" t="s">
        <v>193</v>
      </c>
      <c r="F1561" s="71" t="s">
        <v>921</v>
      </c>
      <c r="G1561" s="41" t="s">
        <v>34</v>
      </c>
      <c r="H1561" s="61">
        <v>45568</v>
      </c>
      <c r="I1561" s="59">
        <v>0.125</v>
      </c>
      <c r="J1561" s="117" t="s">
        <v>14</v>
      </c>
      <c r="K1561" s="22"/>
    </row>
    <row r="1562" spans="2:11">
      <c r="B1562" s="22" t="s">
        <v>138</v>
      </c>
      <c r="C1562" s="28">
        <f>IF(B1562&lt;&gt;"",VLOOKUP(B1562,Projetos!E:F,2,0),"")</f>
        <v>30</v>
      </c>
      <c r="D1562" s="22"/>
      <c r="E1562" s="22" t="s">
        <v>16</v>
      </c>
      <c r="F1562" s="71" t="s">
        <v>922</v>
      </c>
      <c r="G1562" s="41" t="s">
        <v>20</v>
      </c>
      <c r="H1562" s="61">
        <v>45569</v>
      </c>
      <c r="I1562" s="59">
        <v>0.16666666666666666</v>
      </c>
      <c r="J1562" s="117" t="s">
        <v>14</v>
      </c>
      <c r="K1562" s="22"/>
    </row>
    <row r="1563" spans="2:11">
      <c r="B1563" s="22" t="s">
        <v>788</v>
      </c>
      <c r="C1563" s="28">
        <f>IF(B1563&lt;&gt;"",VLOOKUP(B1563,Projetos!E:F,2,0),"")</f>
        <v>55</v>
      </c>
      <c r="D1563" s="22"/>
      <c r="E1563" s="22" t="s">
        <v>65</v>
      </c>
      <c r="F1563" s="71" t="s">
        <v>923</v>
      </c>
      <c r="G1563" s="41" t="s">
        <v>20</v>
      </c>
      <c r="H1563" s="61">
        <v>45569</v>
      </c>
      <c r="I1563" s="59">
        <v>0.125</v>
      </c>
      <c r="J1563" s="117" t="s">
        <v>14</v>
      </c>
      <c r="K1563" s="22"/>
    </row>
    <row r="1564" spans="2:11">
      <c r="B1564" s="22" t="s">
        <v>136</v>
      </c>
      <c r="C1564" s="28">
        <f>IF(B1564&lt;&gt;"",VLOOKUP(B1564,Projetos!E:F,2,0),"")</f>
        <v>25</v>
      </c>
      <c r="D1564" s="22"/>
      <c r="E1564" s="22" t="s">
        <v>49</v>
      </c>
      <c r="F1564" s="71" t="s">
        <v>917</v>
      </c>
      <c r="G1564" s="41" t="s">
        <v>64</v>
      </c>
      <c r="H1564" s="61">
        <v>45569</v>
      </c>
      <c r="I1564" s="59">
        <v>0.22916666666666666</v>
      </c>
      <c r="J1564" s="117" t="s">
        <v>14</v>
      </c>
      <c r="K1564" s="22"/>
    </row>
    <row r="1565" spans="2:11">
      <c r="B1565" s="22" t="s">
        <v>138</v>
      </c>
      <c r="C1565" s="28">
        <f>IF(B1565&lt;&gt;"",VLOOKUP(B1565,Projetos!E:F,2,0),"")</f>
        <v>30</v>
      </c>
      <c r="D1565" s="22"/>
      <c r="E1565" s="22" t="s">
        <v>16</v>
      </c>
      <c r="F1565" s="71" t="s">
        <v>924</v>
      </c>
      <c r="G1565" s="41" t="s">
        <v>34</v>
      </c>
      <c r="H1565" s="61">
        <v>45569</v>
      </c>
      <c r="I1565" s="59">
        <v>0.10416666666666667</v>
      </c>
      <c r="J1565" s="117" t="s">
        <v>14</v>
      </c>
      <c r="K1565" s="22"/>
    </row>
    <row r="1566" spans="2:11">
      <c r="B1566" s="22" t="s">
        <v>138</v>
      </c>
      <c r="C1566" s="28">
        <v>30</v>
      </c>
      <c r="D1566" s="22"/>
      <c r="E1566" s="22" t="s">
        <v>16</v>
      </c>
      <c r="F1566" s="71" t="s">
        <v>924</v>
      </c>
      <c r="G1566" s="41" t="s">
        <v>64</v>
      </c>
      <c r="H1566" s="61">
        <v>45569</v>
      </c>
      <c r="I1566" s="59">
        <v>0.10416666666666667</v>
      </c>
      <c r="J1566" s="117" t="s">
        <v>14</v>
      </c>
      <c r="K1566" s="22"/>
    </row>
    <row r="1567" spans="2:11">
      <c r="B1567" s="22" t="s">
        <v>643</v>
      </c>
      <c r="C1567" s="28">
        <f>IF(B1567&lt;&gt;"",VLOOKUP(B1567,Projetos!E:F,2,0),"")</f>
        <v>52</v>
      </c>
      <c r="D1567" s="22"/>
      <c r="E1567" s="22" t="s">
        <v>144</v>
      </c>
      <c r="F1567" s="71" t="s">
        <v>907</v>
      </c>
      <c r="G1567" s="41" t="s">
        <v>525</v>
      </c>
      <c r="H1567" s="61">
        <v>45568</v>
      </c>
      <c r="I1567" s="59">
        <v>0.16666666666666666</v>
      </c>
      <c r="J1567" s="117" t="s">
        <v>14</v>
      </c>
      <c r="K1567" s="22"/>
    </row>
    <row r="1568" spans="2:11">
      <c r="B1568" s="22" t="s">
        <v>643</v>
      </c>
      <c r="C1568" s="28">
        <f>IF(B1568&lt;&gt;"",VLOOKUP(B1568,Projetos!E:F,2,0),"")</f>
        <v>52</v>
      </c>
      <c r="D1568" s="22"/>
      <c r="E1568" s="22" t="s">
        <v>144</v>
      </c>
      <c r="F1568" s="71" t="s">
        <v>906</v>
      </c>
      <c r="G1568" s="41" t="s">
        <v>525</v>
      </c>
      <c r="H1568" s="61">
        <v>45568</v>
      </c>
      <c r="I1568" s="59">
        <v>8.3333333333333329E-2</v>
      </c>
      <c r="J1568" s="117" t="s">
        <v>14</v>
      </c>
      <c r="K1568" s="22"/>
    </row>
    <row r="1569" spans="1:11">
      <c r="B1569" s="22" t="s">
        <v>643</v>
      </c>
      <c r="C1569" s="28">
        <f>IF(B1569&lt;&gt;"",VLOOKUP(B1569,Projetos!E:F,2,0),"")</f>
        <v>52</v>
      </c>
      <c r="D1569" s="22"/>
      <c r="E1569" s="22" t="s">
        <v>144</v>
      </c>
      <c r="F1569" s="71" t="s">
        <v>907</v>
      </c>
      <c r="G1569" s="41" t="s">
        <v>525</v>
      </c>
      <c r="H1569" s="61">
        <v>45569</v>
      </c>
      <c r="I1569" s="59">
        <v>0.25</v>
      </c>
      <c r="J1569" s="117" t="s">
        <v>14</v>
      </c>
      <c r="K1569" s="22"/>
    </row>
    <row r="1570" spans="1:11">
      <c r="B1570" s="22" t="s">
        <v>138</v>
      </c>
      <c r="C1570" s="28">
        <f>IF(B1570&lt;&gt;"",VLOOKUP(B1570,Projetos!E:F,2,0),"")</f>
        <v>30</v>
      </c>
      <c r="D1570" s="22"/>
      <c r="E1570" s="22" t="s">
        <v>26</v>
      </c>
      <c r="F1570" s="71" t="s">
        <v>925</v>
      </c>
      <c r="G1570" s="41" t="s">
        <v>34</v>
      </c>
      <c r="H1570" s="61">
        <v>45569</v>
      </c>
      <c r="I1570" s="59">
        <v>0.16666666666666666</v>
      </c>
      <c r="J1570" s="117" t="s">
        <v>14</v>
      </c>
      <c r="K1570" s="22"/>
    </row>
    <row r="1571" spans="1:11">
      <c r="B1571" s="22" t="s">
        <v>140</v>
      </c>
      <c r="C1571" s="28">
        <f>IF(B1571&lt;&gt;"",VLOOKUP(B1571,Projetos!E:F,2,0),"")</f>
        <v>39</v>
      </c>
      <c r="D1571" s="22"/>
      <c r="E1571" s="22" t="s">
        <v>23</v>
      </c>
      <c r="F1571" s="71" t="s">
        <v>926</v>
      </c>
      <c r="G1571" s="41" t="s">
        <v>19</v>
      </c>
      <c r="H1571" s="61">
        <v>45569</v>
      </c>
      <c r="I1571" s="59">
        <v>0.25</v>
      </c>
      <c r="J1571" s="117" t="s">
        <v>14</v>
      </c>
      <c r="K1571" s="22"/>
    </row>
    <row r="1572" spans="1:11">
      <c r="B1572" s="22" t="s">
        <v>138</v>
      </c>
      <c r="C1572" s="28">
        <f>IF(B1572&lt;&gt;"",VLOOKUP(B1572,Projetos!E:F,2,0),"")</f>
        <v>30</v>
      </c>
      <c r="D1572" s="22"/>
      <c r="E1572" s="22" t="s">
        <v>16</v>
      </c>
      <c r="F1572" s="71" t="s">
        <v>927</v>
      </c>
      <c r="G1572" s="41" t="s">
        <v>20</v>
      </c>
      <c r="H1572" s="61">
        <v>45572</v>
      </c>
      <c r="I1572" s="59">
        <v>0.16666666666666666</v>
      </c>
      <c r="J1572" s="117" t="s">
        <v>14</v>
      </c>
      <c r="K1572" s="22"/>
    </row>
    <row r="1573" spans="1:11">
      <c r="B1573" s="22" t="s">
        <v>736</v>
      </c>
      <c r="C1573" s="28">
        <f>IF(B1573&lt;&gt;"",VLOOKUP(B1573,Projetos!E:F,2,0),"")</f>
        <v>54</v>
      </c>
      <c r="D1573" s="22"/>
      <c r="E1573" s="22" t="s">
        <v>23</v>
      </c>
      <c r="F1573" s="71" t="s">
        <v>928</v>
      </c>
      <c r="G1573" s="41" t="s">
        <v>20</v>
      </c>
      <c r="H1573" s="61">
        <v>45572</v>
      </c>
      <c r="I1573" s="59">
        <v>0.14583333333333334</v>
      </c>
      <c r="J1573" s="117" t="s">
        <v>14</v>
      </c>
      <c r="K1573" s="22"/>
    </row>
    <row r="1574" spans="1:11">
      <c r="B1574" s="22" t="s">
        <v>138</v>
      </c>
      <c r="C1574" s="28">
        <f>IF(B1574&lt;&gt;"",VLOOKUP(B1574,Projetos!E:F,2,0),"")</f>
        <v>30</v>
      </c>
      <c r="D1574" s="22"/>
      <c r="E1574" s="22" t="s">
        <v>16</v>
      </c>
      <c r="F1574" s="71" t="s">
        <v>929</v>
      </c>
      <c r="G1574" s="41" t="s">
        <v>19</v>
      </c>
      <c r="H1574" s="61">
        <v>45569</v>
      </c>
      <c r="I1574" s="59">
        <v>8.3333333333333329E-2</v>
      </c>
      <c r="J1574" s="117" t="s">
        <v>14</v>
      </c>
      <c r="K1574" s="22"/>
    </row>
    <row r="1575" spans="1:11">
      <c r="B1575" s="22" t="s">
        <v>138</v>
      </c>
      <c r="C1575" s="28">
        <f>IF(B1575&lt;&gt;"",VLOOKUP(B1575,Projetos!E:F,2,0),"")</f>
        <v>30</v>
      </c>
      <c r="D1575" s="22"/>
      <c r="E1575" s="22" t="s">
        <v>16</v>
      </c>
      <c r="F1575" s="71" t="s">
        <v>930</v>
      </c>
      <c r="G1575" s="41" t="s">
        <v>34</v>
      </c>
      <c r="H1575" s="61">
        <v>45572</v>
      </c>
      <c r="I1575" s="59">
        <v>0.125</v>
      </c>
      <c r="J1575" s="117" t="s">
        <v>14</v>
      </c>
      <c r="K1575" s="22"/>
    </row>
    <row r="1576" spans="1:11">
      <c r="A1576" t="s">
        <v>931</v>
      </c>
      <c r="B1576" s="22" t="s">
        <v>138</v>
      </c>
      <c r="C1576" s="28">
        <f>IF(B1576&lt;&gt;"",VLOOKUP(B1576,Projetos!E:F,2,0),"")</f>
        <v>30</v>
      </c>
      <c r="D1576" s="22"/>
      <c r="E1576" s="22" t="s">
        <v>16</v>
      </c>
      <c r="F1576" s="71" t="s">
        <v>932</v>
      </c>
      <c r="G1576" s="41" t="s">
        <v>34</v>
      </c>
      <c r="H1576" s="61">
        <v>45572</v>
      </c>
      <c r="I1576" s="59">
        <v>8.3333333333333329E-2</v>
      </c>
      <c r="J1576" s="117" t="s">
        <v>14</v>
      </c>
      <c r="K1576" s="22"/>
    </row>
    <row r="1577" spans="1:11" ht="30">
      <c r="B1577" s="22" t="s">
        <v>138</v>
      </c>
      <c r="C1577" s="28">
        <f>IF(B1577&lt;&gt;"",VLOOKUP(B1577,Projetos!E:F,2,0),"")</f>
        <v>30</v>
      </c>
      <c r="D1577" s="22"/>
      <c r="E1577" s="22" t="s">
        <v>26</v>
      </c>
      <c r="F1577" s="71" t="s">
        <v>933</v>
      </c>
      <c r="G1577" s="41" t="s">
        <v>34</v>
      </c>
      <c r="H1577" s="61">
        <v>45572</v>
      </c>
      <c r="I1577" s="59">
        <v>4.1666666666666664E-2</v>
      </c>
      <c r="J1577" s="117" t="s">
        <v>14</v>
      </c>
      <c r="K1577" s="22"/>
    </row>
    <row r="1578" spans="1:11">
      <c r="B1578" s="22" t="s">
        <v>643</v>
      </c>
      <c r="C1578" s="28">
        <f>IF(B1578&lt;&gt;"",VLOOKUP(B1578,Projetos!E:F,2,0),"")</f>
        <v>52</v>
      </c>
      <c r="D1578" s="22"/>
      <c r="E1578" s="22" t="s">
        <v>144</v>
      </c>
      <c r="F1578" s="71" t="s">
        <v>934</v>
      </c>
      <c r="G1578" s="41" t="s">
        <v>525</v>
      </c>
      <c r="H1578" s="61">
        <v>45572</v>
      </c>
      <c r="I1578" s="59">
        <v>0.16666666666666666</v>
      </c>
      <c r="J1578" s="117" t="s">
        <v>14</v>
      </c>
      <c r="K1578" s="22"/>
    </row>
    <row r="1579" spans="1:11">
      <c r="B1579" s="22" t="s">
        <v>643</v>
      </c>
      <c r="C1579" s="28">
        <f>IF(B1579&lt;&gt;"",VLOOKUP(B1579,Projetos!E:F,2,0),"")</f>
        <v>52</v>
      </c>
      <c r="D1579" s="22"/>
      <c r="E1579" s="22" t="s">
        <v>144</v>
      </c>
      <c r="F1579" s="71" t="s">
        <v>935</v>
      </c>
      <c r="G1579" s="41" t="s">
        <v>525</v>
      </c>
      <c r="H1579" s="61">
        <v>45572</v>
      </c>
      <c r="I1579" s="59">
        <v>8.3333333333333329E-2</v>
      </c>
      <c r="J1579" s="117" t="s">
        <v>14</v>
      </c>
      <c r="K1579" s="22"/>
    </row>
    <row r="1580" spans="1:11">
      <c r="B1580" s="22" t="s">
        <v>140</v>
      </c>
      <c r="C1580" s="28">
        <f>IF(B1580&lt;&gt;"",VLOOKUP(B1580,Projetos!E:F,2,0),"")</f>
        <v>39</v>
      </c>
      <c r="D1580" s="22"/>
      <c r="E1580" s="22" t="s">
        <v>23</v>
      </c>
      <c r="F1580" s="71" t="s">
        <v>936</v>
      </c>
      <c r="G1580" s="41" t="s">
        <v>19</v>
      </c>
      <c r="H1580" s="61">
        <v>45572</v>
      </c>
      <c r="I1580" s="59">
        <v>0.29166666666666669</v>
      </c>
      <c r="J1580" s="117" t="s">
        <v>14</v>
      </c>
      <c r="K1580" s="22"/>
    </row>
    <row r="1581" spans="1:11">
      <c r="B1581" s="22" t="s">
        <v>140</v>
      </c>
      <c r="C1581" s="28">
        <f>IF(B1581&lt;&gt;"",VLOOKUP(B1581,Projetos!E:F,2,0),"")</f>
        <v>39</v>
      </c>
      <c r="D1581" s="28" t="str">
        <f>IF(C1580&lt;&gt;"",VLOOKUP(C1580,Projetos!F:G,2,0),"")</f>
        <v>Projeto_Agrodefesa</v>
      </c>
      <c r="E1581" s="22" t="s">
        <v>23</v>
      </c>
      <c r="F1581" s="71" t="s">
        <v>937</v>
      </c>
      <c r="G1581" s="41" t="s">
        <v>19</v>
      </c>
      <c r="H1581" s="61">
        <v>45573</v>
      </c>
      <c r="I1581" s="59">
        <v>0.29166666666666669</v>
      </c>
      <c r="J1581" s="117" t="s">
        <v>14</v>
      </c>
      <c r="K1581" s="22"/>
    </row>
    <row r="1582" spans="1:11">
      <c r="B1582" s="22" t="s">
        <v>138</v>
      </c>
      <c r="C1582" s="28">
        <f>IF(B1582&lt;&gt;"",VLOOKUP(B1582,Projetos!E:F,2,0),"")</f>
        <v>30</v>
      </c>
      <c r="D1582" s="22"/>
      <c r="E1582" s="22" t="s">
        <v>16</v>
      </c>
      <c r="F1582" s="71" t="s">
        <v>938</v>
      </c>
      <c r="G1582" s="41" t="s">
        <v>42</v>
      </c>
      <c r="H1582" s="61">
        <v>45572</v>
      </c>
      <c r="I1582" s="59">
        <v>8.3333333333333329E-2</v>
      </c>
      <c r="J1582" s="117" t="s">
        <v>14</v>
      </c>
      <c r="K1582" s="22"/>
    </row>
    <row r="1583" spans="1:11">
      <c r="B1583" s="22" t="s">
        <v>138</v>
      </c>
      <c r="C1583" s="28">
        <f>IF(B1583&lt;&gt;"",VLOOKUP(B1583,Projetos!E:F,2,0),"")</f>
        <v>30</v>
      </c>
      <c r="D1583" s="22"/>
      <c r="E1583" s="22" t="s">
        <v>16</v>
      </c>
      <c r="F1583" s="71" t="s">
        <v>939</v>
      </c>
      <c r="G1583" s="41" t="s">
        <v>42</v>
      </c>
      <c r="H1583" s="61">
        <v>45572</v>
      </c>
      <c r="I1583" s="59">
        <v>8.3333333333333329E-2</v>
      </c>
      <c r="J1583" s="117" t="s">
        <v>14</v>
      </c>
      <c r="K1583" s="22"/>
    </row>
    <row r="1584" spans="1:11">
      <c r="B1584" s="22" t="s">
        <v>140</v>
      </c>
      <c r="C1584" s="28">
        <f>IF(B1584&lt;&gt;"",VLOOKUP(B1584,Projetos!E:F,2,0),"")</f>
        <v>39</v>
      </c>
      <c r="D1584" s="22"/>
      <c r="E1584" s="22" t="s">
        <v>49</v>
      </c>
      <c r="F1584" s="71" t="s">
        <v>940</v>
      </c>
      <c r="G1584" s="41" t="s">
        <v>42</v>
      </c>
      <c r="H1584" s="61">
        <v>45572</v>
      </c>
      <c r="I1584" s="59">
        <v>8.3333333333333329E-2</v>
      </c>
      <c r="J1584" s="117" t="s">
        <v>14</v>
      </c>
      <c r="K1584" s="22"/>
    </row>
    <row r="1585" spans="2:11">
      <c r="B1585" s="22" t="s">
        <v>140</v>
      </c>
      <c r="C1585" s="28">
        <f>IF(B1585&lt;&gt;"",VLOOKUP(B1585,Projetos!E:F,2,0),"")</f>
        <v>39</v>
      </c>
      <c r="D1585" s="22"/>
      <c r="E1585" s="22" t="s">
        <v>40</v>
      </c>
      <c r="F1585" s="71" t="s">
        <v>941</v>
      </c>
      <c r="G1585" s="41" t="s">
        <v>42</v>
      </c>
      <c r="H1585" s="61">
        <v>45572</v>
      </c>
      <c r="I1585" s="59">
        <v>8.3333333333333329E-2</v>
      </c>
      <c r="J1585" s="117" t="s">
        <v>14</v>
      </c>
      <c r="K1585" s="22"/>
    </row>
    <row r="1586" spans="2:11">
      <c r="B1586" s="22" t="s">
        <v>788</v>
      </c>
      <c r="C1586" s="28">
        <f>IF(B1586&lt;&gt;"",VLOOKUP(B1586,Projetos!E:F,2,0),"")</f>
        <v>55</v>
      </c>
      <c r="D1586" s="22"/>
      <c r="E1586" s="22" t="s">
        <v>40</v>
      </c>
      <c r="F1586" s="71" t="s">
        <v>942</v>
      </c>
      <c r="G1586" s="41" t="s">
        <v>42</v>
      </c>
      <c r="H1586" s="61">
        <v>45573</v>
      </c>
      <c r="I1586" s="59">
        <v>0.16666666666666666</v>
      </c>
      <c r="J1586" s="117" t="s">
        <v>14</v>
      </c>
      <c r="K1586" s="22"/>
    </row>
    <row r="1587" spans="2:11" ht="30">
      <c r="B1587" s="22" t="s">
        <v>140</v>
      </c>
      <c r="C1587" s="28">
        <f>IF(B1587&lt;&gt;"",VLOOKUP(B1587,Projetos!E:F,2,0),"")</f>
        <v>39</v>
      </c>
      <c r="D1587" s="22"/>
      <c r="E1587" s="22" t="s">
        <v>40</v>
      </c>
      <c r="F1587" s="71" t="s">
        <v>943</v>
      </c>
      <c r="G1587" s="41" t="s">
        <v>42</v>
      </c>
      <c r="H1587" s="61">
        <v>45573</v>
      </c>
      <c r="I1587" s="59">
        <v>8.3333333333333329E-2</v>
      </c>
      <c r="J1587" s="117" t="s">
        <v>14</v>
      </c>
      <c r="K1587" s="22"/>
    </row>
    <row r="1588" spans="2:11" ht="30">
      <c r="B1588" s="22" t="s">
        <v>138</v>
      </c>
      <c r="C1588" s="28">
        <f>IF(B1588&lt;&gt;"",VLOOKUP(B1588,Projetos!E:F,2,0),"")</f>
        <v>30</v>
      </c>
      <c r="D1588" s="22"/>
      <c r="E1588" s="22" t="s">
        <v>26</v>
      </c>
      <c r="F1588" s="71" t="s">
        <v>933</v>
      </c>
      <c r="G1588" s="41" t="s">
        <v>34</v>
      </c>
      <c r="H1588" s="61">
        <v>45573</v>
      </c>
      <c r="I1588" s="59">
        <v>8.3333333333333329E-2</v>
      </c>
      <c r="J1588" s="117" t="s">
        <v>14</v>
      </c>
      <c r="K1588" s="22"/>
    </row>
    <row r="1589" spans="2:11">
      <c r="B1589" s="22" t="s">
        <v>140</v>
      </c>
      <c r="C1589" s="28">
        <f>IF(B1589&lt;&gt;"",VLOOKUP(B1589,Projetos!E:F,2,0),"")</f>
        <v>39</v>
      </c>
      <c r="D1589" s="22"/>
      <c r="E1589" s="22" t="s">
        <v>26</v>
      </c>
      <c r="F1589" s="71" t="s">
        <v>944</v>
      </c>
      <c r="G1589" s="41" t="s">
        <v>34</v>
      </c>
      <c r="H1589" s="61">
        <v>45573</v>
      </c>
      <c r="I1589" s="59">
        <v>4.1666666666666664E-2</v>
      </c>
      <c r="J1589" s="117" t="s">
        <v>14</v>
      </c>
      <c r="K1589" s="22"/>
    </row>
    <row r="1590" spans="2:11">
      <c r="B1590" s="22" t="s">
        <v>192</v>
      </c>
      <c r="C1590" s="28">
        <f>IF(B1590&lt;&gt;"",VLOOKUP(B1590,Projetos!E:F,2,0),"")</f>
        <v>32</v>
      </c>
      <c r="D1590" s="22"/>
      <c r="E1590" s="22" t="s">
        <v>193</v>
      </c>
      <c r="F1590" s="71" t="s">
        <v>909</v>
      </c>
      <c r="G1590" s="41" t="s">
        <v>34</v>
      </c>
      <c r="H1590" s="61">
        <v>45572</v>
      </c>
      <c r="I1590" s="59">
        <v>8.3333333333333329E-2</v>
      </c>
      <c r="J1590" s="117" t="s">
        <v>14</v>
      </c>
      <c r="K1590" s="22"/>
    </row>
    <row r="1591" spans="2:11">
      <c r="B1591" s="22" t="s">
        <v>643</v>
      </c>
      <c r="C1591" s="28">
        <f>IF(B1591&lt;&gt;"",VLOOKUP(B1591,Projetos!E:F,2,0),"")</f>
        <v>52</v>
      </c>
      <c r="D1591" s="22"/>
      <c r="E1591" s="22" t="s">
        <v>144</v>
      </c>
      <c r="F1591" s="71" t="s">
        <v>934</v>
      </c>
      <c r="G1591" s="41" t="s">
        <v>525</v>
      </c>
      <c r="H1591" s="61">
        <v>45573</v>
      </c>
      <c r="I1591" s="59">
        <v>0.20833333333333334</v>
      </c>
      <c r="J1591" s="117" t="s">
        <v>14</v>
      </c>
      <c r="K1591" s="22"/>
    </row>
    <row r="1592" spans="2:11">
      <c r="B1592" s="22" t="s">
        <v>643</v>
      </c>
      <c r="C1592" s="28">
        <f>IF(B1592&lt;&gt;"",VLOOKUP(B1592,Projetos!E:F,2,0),"")</f>
        <v>52</v>
      </c>
      <c r="D1592" s="22"/>
      <c r="E1592" s="22" t="s">
        <v>144</v>
      </c>
      <c r="F1592" s="71" t="s">
        <v>935</v>
      </c>
      <c r="G1592" s="41" t="s">
        <v>525</v>
      </c>
      <c r="H1592" s="61">
        <v>45573</v>
      </c>
      <c r="I1592" s="59">
        <v>4.1666666666666664E-2</v>
      </c>
      <c r="J1592" s="117" t="s">
        <v>14</v>
      </c>
      <c r="K1592" s="22"/>
    </row>
    <row r="1593" spans="2:11">
      <c r="B1593" s="22" t="s">
        <v>192</v>
      </c>
      <c r="C1593" s="28">
        <f>IF(B1593&lt;&gt;"",VLOOKUP(B1593,Projetos!E:F,2,0),"")</f>
        <v>32</v>
      </c>
      <c r="D1593" s="22"/>
      <c r="E1593" s="22" t="s">
        <v>193</v>
      </c>
      <c r="F1593" s="71" t="s">
        <v>909</v>
      </c>
      <c r="G1593" s="41" t="s">
        <v>34</v>
      </c>
      <c r="H1593" s="61">
        <v>45573</v>
      </c>
      <c r="I1593" s="59">
        <v>0.125</v>
      </c>
      <c r="J1593" s="117" t="s">
        <v>14</v>
      </c>
      <c r="K1593" s="22"/>
    </row>
    <row r="1594" spans="2:11">
      <c r="B1594" s="22" t="s">
        <v>140</v>
      </c>
      <c r="C1594" s="28">
        <f>IF(B1594&lt;&gt;"",VLOOKUP(B1594,Projetos!E:F,2,0),"")</f>
        <v>39</v>
      </c>
      <c r="D1594" s="22"/>
      <c r="E1594" s="22" t="s">
        <v>23</v>
      </c>
      <c r="F1594" s="71" t="s">
        <v>24</v>
      </c>
      <c r="G1594" s="41" t="s">
        <v>19</v>
      </c>
      <c r="H1594" s="61">
        <v>45574</v>
      </c>
      <c r="I1594" s="59">
        <v>0.29166666666666669</v>
      </c>
      <c r="J1594" s="117" t="s">
        <v>14</v>
      </c>
      <c r="K1594" s="22"/>
    </row>
    <row r="1595" spans="2:11">
      <c r="B1595" s="22" t="s">
        <v>10</v>
      </c>
      <c r="C1595" s="28">
        <f>IF(B1595&lt;&gt;"",VLOOKUP(B1595,Projetos!E:F,2,0),"")</f>
        <v>2</v>
      </c>
      <c r="D1595" s="22"/>
      <c r="E1595" s="22" t="s">
        <v>40</v>
      </c>
      <c r="F1595" s="71" t="s">
        <v>945</v>
      </c>
      <c r="G1595" s="41" t="s">
        <v>42</v>
      </c>
      <c r="H1595" s="61">
        <v>45573</v>
      </c>
      <c r="I1595" s="59">
        <v>8.3333333333333329E-2</v>
      </c>
      <c r="J1595" s="117" t="s">
        <v>14</v>
      </c>
      <c r="K1595" s="22"/>
    </row>
    <row r="1596" spans="2:11" ht="30">
      <c r="B1596" s="22" t="s">
        <v>788</v>
      </c>
      <c r="C1596" s="28">
        <f>IF(B1596&lt;&gt;"",VLOOKUP(B1596,Projetos!E:F,2,0),"")</f>
        <v>55</v>
      </c>
      <c r="D1596" s="22"/>
      <c r="E1596" s="22" t="s">
        <v>40</v>
      </c>
      <c r="F1596" s="71" t="s">
        <v>946</v>
      </c>
      <c r="G1596" s="41" t="s">
        <v>42</v>
      </c>
      <c r="H1596" s="61">
        <v>45574</v>
      </c>
      <c r="I1596" s="59">
        <v>8.3333333333333329E-2</v>
      </c>
      <c r="J1596" s="117" t="s">
        <v>14</v>
      </c>
      <c r="K1596" s="22"/>
    </row>
    <row r="1597" spans="2:11">
      <c r="B1597" s="22" t="s">
        <v>10</v>
      </c>
      <c r="C1597" s="28">
        <f>IF(B1597&lt;&gt;"",VLOOKUP(B1597,Projetos!E:F,2,0),"")</f>
        <v>2</v>
      </c>
      <c r="D1597" s="22"/>
      <c r="E1597" s="22" t="s">
        <v>40</v>
      </c>
      <c r="F1597" s="71" t="s">
        <v>945</v>
      </c>
      <c r="G1597" s="41" t="s">
        <v>42</v>
      </c>
      <c r="H1597" s="61">
        <v>45574</v>
      </c>
      <c r="I1597" s="59">
        <v>0.25</v>
      </c>
      <c r="J1597" s="117" t="s">
        <v>14</v>
      </c>
      <c r="K1597" s="22"/>
    </row>
    <row r="1598" spans="2:11">
      <c r="B1598" s="22" t="s">
        <v>156</v>
      </c>
      <c r="C1598" s="28">
        <f>IF(B1598&lt;&gt;"",VLOOKUP(B1598,Projetos!E:F,2,0),"")</f>
        <v>3</v>
      </c>
      <c r="D1598" s="22"/>
      <c r="E1598" s="22" t="s">
        <v>40</v>
      </c>
      <c r="F1598" s="71" t="s">
        <v>947</v>
      </c>
      <c r="G1598" s="41" t="s">
        <v>66</v>
      </c>
      <c r="H1598" s="61">
        <v>45574</v>
      </c>
      <c r="I1598" s="59">
        <v>0.25</v>
      </c>
      <c r="J1598" s="117" t="s">
        <v>14</v>
      </c>
      <c r="K1598" s="22"/>
    </row>
    <row r="1599" spans="2:11">
      <c r="B1599" s="22" t="s">
        <v>643</v>
      </c>
      <c r="C1599" s="28">
        <f>IF(B1599&lt;&gt;"",VLOOKUP(B1599,Projetos!E:F,2,0),"")</f>
        <v>52</v>
      </c>
      <c r="D1599" s="22"/>
      <c r="E1599" s="22" t="s">
        <v>144</v>
      </c>
      <c r="F1599" s="71" t="s">
        <v>935</v>
      </c>
      <c r="G1599" s="41" t="s">
        <v>525</v>
      </c>
      <c r="H1599" s="61">
        <v>45574</v>
      </c>
      <c r="I1599" s="59">
        <v>8.3333333333333329E-2</v>
      </c>
      <c r="J1599" s="117" t="s">
        <v>14</v>
      </c>
      <c r="K1599" s="22"/>
    </row>
    <row r="1600" spans="2:11">
      <c r="B1600" s="22" t="s">
        <v>643</v>
      </c>
      <c r="C1600" s="28">
        <f>IF(B1600&lt;&gt;"",VLOOKUP(B1600,Projetos!E:F,2,0),"")</f>
        <v>52</v>
      </c>
      <c r="D1600" s="22"/>
      <c r="E1600" s="22" t="s">
        <v>144</v>
      </c>
      <c r="F1600" s="71" t="s">
        <v>948</v>
      </c>
      <c r="G1600" s="41" t="s">
        <v>525</v>
      </c>
      <c r="H1600" s="61">
        <v>45574</v>
      </c>
      <c r="I1600" s="59">
        <v>0.125</v>
      </c>
      <c r="J1600" s="117" t="s">
        <v>14</v>
      </c>
      <c r="K1600" s="22"/>
    </row>
    <row r="1601" spans="2:11">
      <c r="B1601" s="22" t="s">
        <v>643</v>
      </c>
      <c r="C1601" s="28">
        <f>IF(B1601&lt;&gt;"",VLOOKUP(B1601,Projetos!E:F,2,0),"")</f>
        <v>52</v>
      </c>
      <c r="D1601" s="22"/>
      <c r="E1601" s="22" t="s">
        <v>144</v>
      </c>
      <c r="F1601" s="71" t="s">
        <v>949</v>
      </c>
      <c r="G1601" s="41" t="s">
        <v>525</v>
      </c>
      <c r="H1601" s="61">
        <v>45574</v>
      </c>
      <c r="I1601" s="59">
        <v>4.1666666666666664E-2</v>
      </c>
      <c r="J1601" s="117" t="s">
        <v>14</v>
      </c>
      <c r="K1601" s="22"/>
    </row>
    <row r="1602" spans="2:11" ht="30">
      <c r="B1602" s="22" t="s">
        <v>140</v>
      </c>
      <c r="C1602" s="28">
        <f>IF(B1602&lt;&gt;"",VLOOKUP(B1602,Projetos!E:F,2,0),"")</f>
        <v>39</v>
      </c>
      <c r="D1602" s="22"/>
      <c r="E1602" s="22" t="s">
        <v>31</v>
      </c>
      <c r="F1602" s="71" t="s">
        <v>950</v>
      </c>
      <c r="G1602" s="41" t="s">
        <v>34</v>
      </c>
      <c r="H1602" s="61">
        <v>45574</v>
      </c>
      <c r="I1602" s="59">
        <v>0.29166666666666669</v>
      </c>
      <c r="J1602" s="117" t="s">
        <v>14</v>
      </c>
      <c r="K1602" s="22"/>
    </row>
    <row r="1603" spans="2:11" ht="30">
      <c r="B1603" s="22" t="s">
        <v>10</v>
      </c>
      <c r="C1603" s="28">
        <f>IF(B1603&lt;&gt;"",VLOOKUP(B1603,Projetos!E:F,2,0),"")</f>
        <v>2</v>
      </c>
      <c r="D1603" s="22"/>
      <c r="E1603" s="22" t="s">
        <v>40</v>
      </c>
      <c r="F1603" s="71" t="s">
        <v>951</v>
      </c>
      <c r="G1603" s="41" t="s">
        <v>42</v>
      </c>
      <c r="H1603" s="61">
        <v>45575</v>
      </c>
      <c r="I1603" s="59">
        <v>8.3333333333333329E-2</v>
      </c>
      <c r="J1603" s="117" t="s">
        <v>14</v>
      </c>
      <c r="K1603" s="22"/>
    </row>
    <row r="1604" spans="2:11">
      <c r="B1604" s="22" t="s">
        <v>643</v>
      </c>
      <c r="C1604" s="28">
        <f>IF(B1604&lt;&gt;"",VLOOKUP(B1604,Projetos!E:F,2,0),"")</f>
        <v>52</v>
      </c>
      <c r="D1604" s="22"/>
      <c r="E1604" s="22" t="s">
        <v>158</v>
      </c>
      <c r="F1604" s="71" t="s">
        <v>952</v>
      </c>
      <c r="G1604" s="41" t="s">
        <v>525</v>
      </c>
      <c r="H1604" s="61">
        <v>45575</v>
      </c>
      <c r="I1604" s="59">
        <v>4.1666666666666664E-2</v>
      </c>
      <c r="J1604" s="117" t="s">
        <v>14</v>
      </c>
      <c r="K1604" s="22"/>
    </row>
    <row r="1605" spans="2:11">
      <c r="B1605" s="22" t="s">
        <v>140</v>
      </c>
      <c r="C1605" s="28">
        <f>IF(B1605&lt;&gt;"",VLOOKUP(B1605,Projetos!E:F,2,0),"")</f>
        <v>39</v>
      </c>
      <c r="D1605" s="22"/>
      <c r="E1605" s="22" t="s">
        <v>23</v>
      </c>
      <c r="F1605" s="71" t="s">
        <v>953</v>
      </c>
      <c r="G1605" s="41" t="s">
        <v>19</v>
      </c>
      <c r="H1605" s="61">
        <v>45575</v>
      </c>
      <c r="I1605" s="59">
        <v>0.29166666666666669</v>
      </c>
      <c r="J1605" s="117" t="s">
        <v>14</v>
      </c>
      <c r="K1605" s="22"/>
    </row>
    <row r="1606" spans="2:11">
      <c r="B1606" s="22" t="s">
        <v>138</v>
      </c>
      <c r="C1606" s="28">
        <f>IF(B1606&lt;&gt;"",VLOOKUP(B1606,Projetos!E:F,2,0),"")</f>
        <v>30</v>
      </c>
      <c r="D1606" s="22"/>
      <c r="E1606" s="22" t="s">
        <v>11</v>
      </c>
      <c r="F1606" s="71" t="s">
        <v>954</v>
      </c>
      <c r="G1606" s="41" t="s">
        <v>525</v>
      </c>
      <c r="H1606" s="61">
        <v>45575</v>
      </c>
      <c r="I1606" s="59">
        <v>4.1666666666666664E-2</v>
      </c>
      <c r="J1606" s="117" t="s">
        <v>14</v>
      </c>
      <c r="K1606" s="22"/>
    </row>
    <row r="1607" spans="2:11">
      <c r="B1607" s="22" t="s">
        <v>10</v>
      </c>
      <c r="C1607" s="28">
        <f>IF(B1607&lt;&gt;"",VLOOKUP(B1607,Projetos!E:F,2,0),"")</f>
        <v>2</v>
      </c>
      <c r="D1607" s="22"/>
      <c r="E1607" s="22" t="s">
        <v>40</v>
      </c>
      <c r="F1607" s="71" t="s">
        <v>955</v>
      </c>
      <c r="G1607" s="41" t="s">
        <v>42</v>
      </c>
      <c r="H1607" s="61">
        <v>45575</v>
      </c>
      <c r="I1607" s="59">
        <v>0.25</v>
      </c>
      <c r="J1607" s="117" t="s">
        <v>14</v>
      </c>
      <c r="K1607" s="22"/>
    </row>
    <row r="1608" spans="2:11">
      <c r="B1608" s="22" t="s">
        <v>294</v>
      </c>
      <c r="C1608" s="28">
        <f>IF(B1608&lt;&gt;"",VLOOKUP(B1608,Projetos!E:F,2,0),"")</f>
        <v>26</v>
      </c>
      <c r="D1608" s="22"/>
      <c r="E1608" s="22" t="s">
        <v>26</v>
      </c>
      <c r="F1608" s="71" t="s">
        <v>956</v>
      </c>
      <c r="G1608" s="41" t="s">
        <v>34</v>
      </c>
      <c r="H1608" s="61">
        <v>45575</v>
      </c>
      <c r="I1608" s="59">
        <v>4.1666666666666664E-2</v>
      </c>
      <c r="J1608" s="117" t="s">
        <v>14</v>
      </c>
      <c r="K1608" s="22"/>
    </row>
    <row r="1609" spans="2:11">
      <c r="B1609" s="22" t="s">
        <v>138</v>
      </c>
      <c r="C1609" s="28">
        <f>IF(B1609&lt;&gt;"",VLOOKUP(B1609,Projetos!E:F,2,0),"")</f>
        <v>30</v>
      </c>
      <c r="D1609" s="22"/>
      <c r="E1609" s="22" t="s">
        <v>16</v>
      </c>
      <c r="F1609" s="71" t="s">
        <v>957</v>
      </c>
      <c r="G1609" s="41" t="s">
        <v>34</v>
      </c>
      <c r="H1609" s="61">
        <v>45575</v>
      </c>
      <c r="I1609" s="59">
        <v>4.1666666666666664E-2</v>
      </c>
      <c r="J1609" s="117" t="s">
        <v>14</v>
      </c>
      <c r="K1609" s="22"/>
    </row>
    <row r="1610" spans="2:11">
      <c r="B1610" s="22" t="s">
        <v>192</v>
      </c>
      <c r="C1610" s="28">
        <f>IF(B1610&lt;&gt;"",VLOOKUP(B1610,Projetos!E:F,2,0),"")</f>
        <v>32</v>
      </c>
      <c r="D1610" s="22"/>
      <c r="E1610" s="22" t="s">
        <v>193</v>
      </c>
      <c r="F1610" s="71" t="s">
        <v>958</v>
      </c>
      <c r="G1610" s="41" t="s">
        <v>34</v>
      </c>
      <c r="H1610" s="61">
        <v>45575</v>
      </c>
      <c r="I1610" s="59">
        <v>0.25</v>
      </c>
      <c r="J1610" s="117" t="s">
        <v>14</v>
      </c>
      <c r="K1610" s="22"/>
    </row>
    <row r="1611" spans="2:11" ht="30">
      <c r="B1611" s="22" t="s">
        <v>643</v>
      </c>
      <c r="C1611" s="28">
        <f>IF(B1611&lt;&gt;"",VLOOKUP(B1611,Projetos!E:F,2,0),"")</f>
        <v>52</v>
      </c>
      <c r="D1611" s="22"/>
      <c r="E1611" s="22" t="s">
        <v>158</v>
      </c>
      <c r="F1611" s="71" t="s">
        <v>959</v>
      </c>
      <c r="G1611" s="41" t="s">
        <v>525</v>
      </c>
      <c r="H1611" s="61">
        <v>45576</v>
      </c>
      <c r="I1611" s="59">
        <v>4.1666666666666664E-2</v>
      </c>
      <c r="J1611" s="117" t="s">
        <v>14</v>
      </c>
      <c r="K1611" s="22"/>
    </row>
    <row r="1612" spans="2:11">
      <c r="B1612" s="22" t="s">
        <v>294</v>
      </c>
      <c r="C1612" s="28">
        <f>IF(B1612&lt;&gt;"",VLOOKUP(B1612,Projetos!E:F,2,0),"")</f>
        <v>26</v>
      </c>
      <c r="D1612" s="22"/>
      <c r="E1612" s="22" t="s">
        <v>26</v>
      </c>
      <c r="F1612" s="71" t="s">
        <v>960</v>
      </c>
      <c r="G1612" s="41" t="s">
        <v>34</v>
      </c>
      <c r="H1612" s="61">
        <v>45576</v>
      </c>
      <c r="I1612" s="59">
        <v>0.16666666666666666</v>
      </c>
      <c r="J1612" s="117" t="s">
        <v>14</v>
      </c>
      <c r="K1612" s="22"/>
    </row>
    <row r="1613" spans="2:11">
      <c r="B1613" s="22" t="s">
        <v>192</v>
      </c>
      <c r="C1613" s="28">
        <f>IF(B1613&lt;&gt;"",VLOOKUP(B1613,Projetos!E:F,2,0),"")</f>
        <v>32</v>
      </c>
      <c r="D1613" s="22"/>
      <c r="E1613" s="22" t="s">
        <v>193</v>
      </c>
      <c r="F1613" s="71" t="s">
        <v>961</v>
      </c>
      <c r="G1613" s="41" t="s">
        <v>34</v>
      </c>
      <c r="H1613" s="61">
        <v>45576</v>
      </c>
      <c r="I1613" s="59">
        <v>0.16666666666666666</v>
      </c>
      <c r="J1613" s="117" t="s">
        <v>14</v>
      </c>
      <c r="K1613" s="22"/>
    </row>
    <row r="1614" spans="2:11">
      <c r="B1614" s="22" t="s">
        <v>10</v>
      </c>
      <c r="C1614" s="28">
        <f>IF(B1614&lt;&gt;"",VLOOKUP(B1614,Projetos!E:F,2,0),"")</f>
        <v>2</v>
      </c>
      <c r="D1614" s="22"/>
      <c r="E1614" s="22" t="s">
        <v>40</v>
      </c>
      <c r="F1614" s="71" t="s">
        <v>962</v>
      </c>
      <c r="G1614" s="41" t="s">
        <v>42</v>
      </c>
      <c r="H1614" s="61">
        <v>45575</v>
      </c>
      <c r="I1614" s="59">
        <v>0.25</v>
      </c>
      <c r="J1614" s="117" t="s">
        <v>14</v>
      </c>
      <c r="K1614" s="22"/>
    </row>
    <row r="1615" spans="2:11">
      <c r="B1615" s="22" t="s">
        <v>10</v>
      </c>
      <c r="C1615" s="28">
        <f>IF(B1615&lt;&gt;"",VLOOKUP(B1615,Projetos!E:F,2,0),"")</f>
        <v>2</v>
      </c>
      <c r="D1615" s="22"/>
      <c r="E1615" s="22" t="s">
        <v>40</v>
      </c>
      <c r="F1615" s="71" t="s">
        <v>962</v>
      </c>
      <c r="G1615" s="41" t="s">
        <v>42</v>
      </c>
      <c r="H1615" s="61">
        <v>45576</v>
      </c>
      <c r="I1615" s="59">
        <v>0.16666666666666666</v>
      </c>
      <c r="J1615" s="117" t="s">
        <v>14</v>
      </c>
      <c r="K1615" s="22"/>
    </row>
    <row r="1616" spans="2:11">
      <c r="B1616" s="22" t="s">
        <v>788</v>
      </c>
      <c r="C1616" s="28">
        <f>IF(B1616&lt;&gt;"",VLOOKUP(B1616,Projetos!E:F,2,0),"")</f>
        <v>55</v>
      </c>
      <c r="D1616" s="22"/>
      <c r="E1616" s="22" t="s">
        <v>40</v>
      </c>
      <c r="F1616" s="71" t="s">
        <v>963</v>
      </c>
      <c r="G1616" s="41" t="s">
        <v>42</v>
      </c>
      <c r="H1616" s="61">
        <v>45576</v>
      </c>
      <c r="I1616" s="59">
        <v>0.16666666666666666</v>
      </c>
      <c r="J1616" s="117" t="s">
        <v>14</v>
      </c>
      <c r="K1616" s="22"/>
    </row>
    <row r="1617" spans="2:11">
      <c r="B1617" s="22" t="s">
        <v>138</v>
      </c>
      <c r="C1617" s="28">
        <f>IF(B1617&lt;&gt;"",VLOOKUP(B1617,Projetos!E:F,2,0),"")</f>
        <v>30</v>
      </c>
      <c r="D1617" s="22"/>
      <c r="E1617" s="22" t="s">
        <v>16</v>
      </c>
      <c r="F1617" s="71" t="s">
        <v>964</v>
      </c>
      <c r="G1617" s="41" t="s">
        <v>34</v>
      </c>
      <c r="H1617" s="61">
        <v>45579</v>
      </c>
      <c r="I1617" s="59">
        <v>8.3333333333333329E-2</v>
      </c>
      <c r="J1617" s="117" t="s">
        <v>14</v>
      </c>
      <c r="K1617" s="22"/>
    </row>
    <row r="1618" spans="2:11">
      <c r="B1618" s="22" t="s">
        <v>788</v>
      </c>
      <c r="C1618" s="28">
        <f>IF(B1618&lt;&gt;"",VLOOKUP(B1618,Projetos!E:F,2,0),"")</f>
        <v>55</v>
      </c>
      <c r="D1618" s="22"/>
      <c r="E1618" s="22" t="s">
        <v>31</v>
      </c>
      <c r="F1618" s="71" t="s">
        <v>965</v>
      </c>
      <c r="G1618" s="41" t="s">
        <v>34</v>
      </c>
      <c r="H1618" s="61">
        <v>45579</v>
      </c>
      <c r="I1618" s="59">
        <v>8.3333333333333329E-2</v>
      </c>
      <c r="J1618" s="117" t="s">
        <v>14</v>
      </c>
      <c r="K1618" s="22"/>
    </row>
    <row r="1619" spans="2:11">
      <c r="B1619" s="22" t="s">
        <v>643</v>
      </c>
      <c r="C1619" s="28">
        <f>IF(B1619&lt;&gt;"",VLOOKUP(B1619,Projetos!E:F,2,0),"")</f>
        <v>52</v>
      </c>
      <c r="D1619" s="22"/>
      <c r="E1619" s="22" t="s">
        <v>158</v>
      </c>
      <c r="F1619" s="71" t="s">
        <v>966</v>
      </c>
      <c r="G1619" s="41" t="s">
        <v>525</v>
      </c>
      <c r="H1619" s="61">
        <v>45579</v>
      </c>
      <c r="I1619" s="59">
        <v>4.1666666666666664E-2</v>
      </c>
      <c r="J1619" s="117" t="s">
        <v>14</v>
      </c>
      <c r="K1619" s="22"/>
    </row>
    <row r="1620" spans="2:11">
      <c r="B1620" s="22" t="s">
        <v>643</v>
      </c>
      <c r="C1620" s="28">
        <f>IF(B1620&lt;&gt;"",VLOOKUP(B1620,Projetos!E:F,2,0),"")</f>
        <v>52</v>
      </c>
      <c r="D1620" s="22"/>
      <c r="E1620" s="22" t="s">
        <v>158</v>
      </c>
      <c r="F1620" s="71" t="s">
        <v>967</v>
      </c>
      <c r="G1620" s="41" t="s">
        <v>525</v>
      </c>
      <c r="H1620" s="61">
        <v>45579</v>
      </c>
      <c r="I1620" s="59">
        <v>8.3333333333333329E-2</v>
      </c>
      <c r="J1620" s="117" t="s">
        <v>14</v>
      </c>
      <c r="K1620" s="22"/>
    </row>
    <row r="1621" spans="2:11">
      <c r="B1621" s="22" t="s">
        <v>968</v>
      </c>
      <c r="C1621" s="28">
        <f>IF(B1621&lt;&gt;"",VLOOKUP(B1621,Projetos!E:F,2,0),"")</f>
        <v>57</v>
      </c>
      <c r="D1621" s="22"/>
      <c r="E1621" s="22" t="s">
        <v>49</v>
      </c>
      <c r="F1621" s="71" t="s">
        <v>969</v>
      </c>
      <c r="G1621" s="41" t="s">
        <v>34</v>
      </c>
      <c r="H1621" s="61">
        <v>45579</v>
      </c>
      <c r="I1621" s="59">
        <v>0.16666666666666666</v>
      </c>
      <c r="J1621" s="117" t="s">
        <v>14</v>
      </c>
      <c r="K1621" s="22"/>
    </row>
    <row r="1622" spans="2:11">
      <c r="B1622" s="22" t="s">
        <v>968</v>
      </c>
      <c r="C1622" s="28">
        <f>IF(B1622&lt;&gt;"",VLOOKUP(B1622,Projetos!E:F,2,0),"")</f>
        <v>57</v>
      </c>
      <c r="D1622" s="22"/>
      <c r="E1622" s="22" t="s">
        <v>21</v>
      </c>
      <c r="F1622" s="71" t="s">
        <v>970</v>
      </c>
      <c r="G1622" s="41" t="s">
        <v>66</v>
      </c>
      <c r="H1622" s="61">
        <v>45575</v>
      </c>
      <c r="I1622" s="59">
        <v>0.25</v>
      </c>
      <c r="J1622" s="117" t="s">
        <v>14</v>
      </c>
      <c r="K1622" s="22"/>
    </row>
    <row r="1623" spans="2:11">
      <c r="B1623" s="22" t="s">
        <v>968</v>
      </c>
      <c r="C1623" s="28">
        <f>IF(B1623&lt;&gt;"",VLOOKUP(B1623,Projetos!E:F,2,0),"")</f>
        <v>57</v>
      </c>
      <c r="D1623" s="22"/>
      <c r="E1623" s="22" t="s">
        <v>21</v>
      </c>
      <c r="F1623" s="71" t="s">
        <v>971</v>
      </c>
      <c r="G1623" s="41" t="s">
        <v>64</v>
      </c>
      <c r="H1623" s="61">
        <v>45572</v>
      </c>
      <c r="I1623" s="59">
        <v>0.33333333333333331</v>
      </c>
      <c r="J1623" s="117" t="s">
        <v>14</v>
      </c>
      <c r="K1623" s="22"/>
    </row>
    <row r="1624" spans="2:11">
      <c r="B1624" s="22" t="s">
        <v>968</v>
      </c>
      <c r="C1624" s="28">
        <f>IF(B1624&lt;&gt;"",VLOOKUP(B1624,Projetos!E:F,2,0),"")</f>
        <v>57</v>
      </c>
      <c r="D1624" s="22"/>
      <c r="E1624" s="22" t="s">
        <v>16</v>
      </c>
      <c r="F1624" s="71" t="s">
        <v>972</v>
      </c>
      <c r="G1624" s="41" t="s">
        <v>64</v>
      </c>
      <c r="H1624" s="61">
        <v>45573</v>
      </c>
      <c r="I1624" s="59">
        <v>8.3333333333333329E-2</v>
      </c>
      <c r="J1624" s="117" t="s">
        <v>14</v>
      </c>
      <c r="K1624" s="22"/>
    </row>
    <row r="1625" spans="2:11" ht="30">
      <c r="B1625" s="22" t="s">
        <v>968</v>
      </c>
      <c r="C1625" s="28">
        <f>IF(B1625&lt;&gt;"",VLOOKUP(B1625,Projetos!E:F,2,0),"")</f>
        <v>57</v>
      </c>
      <c r="D1625" s="22"/>
      <c r="E1625" s="22" t="s">
        <v>49</v>
      </c>
      <c r="F1625" s="71" t="s">
        <v>973</v>
      </c>
      <c r="G1625" s="41" t="s">
        <v>64</v>
      </c>
      <c r="H1625" s="61">
        <v>45573</v>
      </c>
      <c r="I1625" s="59">
        <v>0.125</v>
      </c>
      <c r="J1625" s="117" t="s">
        <v>14</v>
      </c>
      <c r="K1625" s="22"/>
    </row>
    <row r="1626" spans="2:11">
      <c r="B1626" s="22" t="s">
        <v>968</v>
      </c>
      <c r="C1626" s="28">
        <f>IF(B1626&lt;&gt;"",VLOOKUP(B1626,Projetos!E:F,2,0),"")</f>
        <v>57</v>
      </c>
      <c r="D1626" s="22"/>
      <c r="E1626" s="22" t="s">
        <v>21</v>
      </c>
      <c r="F1626" s="71" t="s">
        <v>974</v>
      </c>
      <c r="G1626" s="41" t="s">
        <v>66</v>
      </c>
      <c r="H1626" s="61">
        <v>45576</v>
      </c>
      <c r="I1626" s="59">
        <v>0.25</v>
      </c>
      <c r="J1626" s="117" t="s">
        <v>14</v>
      </c>
      <c r="K1626" s="22"/>
    </row>
    <row r="1627" spans="2:11">
      <c r="B1627" s="22" t="s">
        <v>968</v>
      </c>
      <c r="C1627" s="28">
        <f>IF(B1627&lt;&gt;"",VLOOKUP(B1627,Projetos!E:F,2,0),"")</f>
        <v>57</v>
      </c>
      <c r="D1627" s="22"/>
      <c r="E1627" s="22" t="s">
        <v>21</v>
      </c>
      <c r="F1627" s="71" t="s">
        <v>974</v>
      </c>
      <c r="G1627" s="41" t="s">
        <v>66</v>
      </c>
      <c r="H1627" s="61">
        <v>45579</v>
      </c>
      <c r="I1627" s="59">
        <v>0.25</v>
      </c>
      <c r="J1627" s="117" t="s">
        <v>14</v>
      </c>
      <c r="K1627" s="22"/>
    </row>
    <row r="1628" spans="2:11">
      <c r="B1628" s="22" t="s">
        <v>968</v>
      </c>
      <c r="C1628" s="28">
        <f>IF(B1628&lt;&gt;"",VLOOKUP(B1628,Projetos!E:F,2,0),"")</f>
        <v>57</v>
      </c>
      <c r="D1628" s="22"/>
      <c r="E1628" s="22" t="s">
        <v>23</v>
      </c>
      <c r="F1628" s="71" t="s">
        <v>975</v>
      </c>
      <c r="G1628" s="41" t="s">
        <v>525</v>
      </c>
      <c r="H1628" s="61">
        <v>45575</v>
      </c>
      <c r="I1628" s="59">
        <v>0.16666666666666666</v>
      </c>
      <c r="J1628" s="117" t="s">
        <v>14</v>
      </c>
      <c r="K1628" s="22"/>
    </row>
    <row r="1629" spans="2:11">
      <c r="B1629" s="22" t="s">
        <v>968</v>
      </c>
      <c r="C1629" s="28">
        <f>IF(B1629&lt;&gt;"",VLOOKUP(B1629,Projetos!E:F,2,0),"")</f>
        <v>57</v>
      </c>
      <c r="D1629" s="22"/>
      <c r="E1629" s="22" t="s">
        <v>23</v>
      </c>
      <c r="F1629" s="71" t="s">
        <v>975</v>
      </c>
      <c r="G1629" s="41" t="s">
        <v>525</v>
      </c>
      <c r="H1629" s="61">
        <v>45576</v>
      </c>
      <c r="I1629" s="59">
        <v>0.20833333333333334</v>
      </c>
      <c r="J1629" s="117" t="s">
        <v>14</v>
      </c>
      <c r="K1629" s="22"/>
    </row>
    <row r="1630" spans="2:11">
      <c r="B1630" s="22" t="s">
        <v>968</v>
      </c>
      <c r="C1630" s="28">
        <f>IF(B1630&lt;&gt;"",VLOOKUP(B1630,Projetos!E:F,2,0),"")</f>
        <v>57</v>
      </c>
      <c r="D1630" s="22"/>
      <c r="E1630" s="22" t="s">
        <v>23</v>
      </c>
      <c r="F1630" s="71" t="s">
        <v>975</v>
      </c>
      <c r="G1630" s="41" t="s">
        <v>525</v>
      </c>
      <c r="H1630" s="61">
        <v>45579</v>
      </c>
      <c r="I1630" s="59">
        <v>0.125</v>
      </c>
      <c r="J1630" s="117" t="s">
        <v>14</v>
      </c>
      <c r="K1630" s="22"/>
    </row>
    <row r="1631" spans="2:11">
      <c r="B1631" s="22" t="s">
        <v>643</v>
      </c>
      <c r="C1631" s="28">
        <f>IF(B1631&lt;&gt;"",VLOOKUP(B1631,Projetos!E:F,2,0),"")</f>
        <v>52</v>
      </c>
      <c r="D1631" s="22"/>
      <c r="E1631" s="22" t="s">
        <v>158</v>
      </c>
      <c r="F1631" s="71" t="s">
        <v>966</v>
      </c>
      <c r="G1631" s="41" t="s">
        <v>525</v>
      </c>
      <c r="H1631" s="61">
        <v>45580</v>
      </c>
      <c r="I1631" s="59">
        <v>4.1666666666666664E-2</v>
      </c>
      <c r="J1631" s="117" t="s">
        <v>14</v>
      </c>
      <c r="K1631" s="22"/>
    </row>
    <row r="1632" spans="2:11">
      <c r="B1632" s="22" t="s">
        <v>968</v>
      </c>
      <c r="C1632" s="28">
        <f>IF(B1632&lt;&gt;"",VLOOKUP(B1632,Projetos!E:F,2,0),"")</f>
        <v>57</v>
      </c>
      <c r="D1632" s="22"/>
      <c r="E1632" s="22" t="s">
        <v>21</v>
      </c>
      <c r="F1632" s="71" t="s">
        <v>974</v>
      </c>
      <c r="G1632" s="41" t="s">
        <v>525</v>
      </c>
      <c r="H1632" s="61">
        <v>45580</v>
      </c>
      <c r="I1632" s="59">
        <v>0.16666666666666666</v>
      </c>
      <c r="J1632" s="117" t="s">
        <v>14</v>
      </c>
      <c r="K1632" s="22"/>
    </row>
    <row r="1633" spans="2:11">
      <c r="B1633" s="22" t="s">
        <v>138</v>
      </c>
      <c r="C1633" s="28">
        <f>IF(B1633&lt;&gt;"",VLOOKUP(B1633,Projetos!E:F,2,0),"")</f>
        <v>30</v>
      </c>
      <c r="D1633" s="22"/>
      <c r="E1633" s="22" t="s">
        <v>16</v>
      </c>
      <c r="F1633" s="71" t="s">
        <v>976</v>
      </c>
      <c r="G1633" s="41" t="s">
        <v>525</v>
      </c>
      <c r="H1633" s="61">
        <v>45580</v>
      </c>
      <c r="I1633" s="59">
        <v>4.1666666666666664E-2</v>
      </c>
      <c r="J1633" s="117" t="s">
        <v>14</v>
      </c>
      <c r="K1633" s="22"/>
    </row>
    <row r="1634" spans="2:11">
      <c r="B1634" s="22" t="s">
        <v>138</v>
      </c>
      <c r="C1634" s="28">
        <f>IF(B1634&lt;&gt;"",VLOOKUP(B1634,Projetos!E:F,2,0),"")</f>
        <v>30</v>
      </c>
      <c r="D1634" s="22"/>
      <c r="E1634" s="22" t="s">
        <v>16</v>
      </c>
      <c r="F1634" s="71" t="s">
        <v>964</v>
      </c>
      <c r="G1634" s="41" t="s">
        <v>34</v>
      </c>
      <c r="H1634" s="61">
        <v>45580</v>
      </c>
      <c r="I1634" s="59">
        <v>4.1666666666666664E-2</v>
      </c>
      <c r="J1634" s="117" t="s">
        <v>14</v>
      </c>
      <c r="K1634" s="22"/>
    </row>
    <row r="1635" spans="2:11" ht="30">
      <c r="B1635" s="22" t="s">
        <v>788</v>
      </c>
      <c r="C1635" s="28">
        <f>IF(B1635&lt;&gt;"",VLOOKUP(B1635,Projetos!E:F,2,0),"")</f>
        <v>55</v>
      </c>
      <c r="D1635" s="22"/>
      <c r="E1635" s="22" t="s">
        <v>31</v>
      </c>
      <c r="F1635" s="71" t="s">
        <v>977</v>
      </c>
      <c r="G1635" s="41" t="s">
        <v>34</v>
      </c>
      <c r="H1635" s="61">
        <v>45580</v>
      </c>
      <c r="I1635" s="59">
        <v>0.16666666666666666</v>
      </c>
      <c r="J1635" s="117" t="s">
        <v>14</v>
      </c>
      <c r="K1635" s="22"/>
    </row>
    <row r="1636" spans="2:11">
      <c r="B1636" s="22" t="s">
        <v>968</v>
      </c>
      <c r="C1636" s="28">
        <f>IF(B1636&lt;&gt;"",VLOOKUP(B1636,Projetos!E:F,2,0),"")</f>
        <v>57</v>
      </c>
      <c r="D1636" s="22"/>
      <c r="E1636" s="22" t="s">
        <v>23</v>
      </c>
      <c r="F1636" s="71" t="s">
        <v>969</v>
      </c>
      <c r="G1636" s="41" t="s">
        <v>34</v>
      </c>
      <c r="H1636" s="61">
        <v>45580</v>
      </c>
      <c r="I1636" s="59">
        <v>0.125</v>
      </c>
      <c r="J1636" s="117" t="s">
        <v>14</v>
      </c>
      <c r="K1636" s="22"/>
    </row>
    <row r="1637" spans="2:11">
      <c r="B1637" s="22" t="s">
        <v>10</v>
      </c>
      <c r="C1637" s="28">
        <f>IF(B1637&lt;&gt;"",VLOOKUP(B1637,Projetos!E:F,2,0),"")</f>
        <v>2</v>
      </c>
      <c r="D1637" s="22"/>
      <c r="E1637" s="22" t="s">
        <v>40</v>
      </c>
      <c r="F1637" s="71" t="s">
        <v>978</v>
      </c>
      <c r="G1637" s="41" t="s">
        <v>42</v>
      </c>
      <c r="H1637" s="61">
        <v>45579</v>
      </c>
      <c r="I1637" s="59">
        <v>0.33333333333333331</v>
      </c>
      <c r="J1637" s="117" t="s">
        <v>14</v>
      </c>
      <c r="K1637" s="22"/>
    </row>
    <row r="1638" spans="2:11">
      <c r="B1638" s="22" t="s">
        <v>10</v>
      </c>
      <c r="C1638" s="28">
        <f>IF(B1638&lt;&gt;"",VLOOKUP(B1638,Projetos!E:F,2,0),"")</f>
        <v>2</v>
      </c>
      <c r="D1638" s="22"/>
      <c r="E1638" s="22" t="s">
        <v>40</v>
      </c>
      <c r="F1638" s="71" t="s">
        <v>979</v>
      </c>
      <c r="G1638" s="41" t="s">
        <v>42</v>
      </c>
      <c r="H1638" s="61">
        <v>45580</v>
      </c>
      <c r="I1638" s="59">
        <v>0.33333333333333331</v>
      </c>
      <c r="J1638" s="117" t="s">
        <v>14</v>
      </c>
      <c r="K1638" s="22"/>
    </row>
    <row r="1639" spans="2:11">
      <c r="B1639" s="22" t="s">
        <v>968</v>
      </c>
      <c r="C1639" s="28">
        <f>IF(B1639&lt;&gt;"",VLOOKUP(B1639,Projetos!E:F,2,0),"")</f>
        <v>57</v>
      </c>
      <c r="D1639" s="22"/>
      <c r="E1639" s="22" t="s">
        <v>23</v>
      </c>
      <c r="F1639" s="71" t="s">
        <v>980</v>
      </c>
      <c r="G1639" s="41" t="s">
        <v>66</v>
      </c>
      <c r="H1639" s="61">
        <v>45580</v>
      </c>
      <c r="I1639" s="59">
        <v>0.25</v>
      </c>
      <c r="J1639" s="117" t="s">
        <v>14</v>
      </c>
      <c r="K1639" s="22"/>
    </row>
    <row r="1640" spans="2:11">
      <c r="B1640" s="22" t="s">
        <v>140</v>
      </c>
      <c r="C1640" s="28">
        <f>IF(B1640&lt;&gt;"",VLOOKUP(B1640,Projetos!E:F,2,0),"")</f>
        <v>39</v>
      </c>
      <c r="D1640" s="22"/>
      <c r="E1640" s="22" t="s">
        <v>40</v>
      </c>
      <c r="F1640" s="71" t="s">
        <v>981</v>
      </c>
      <c r="G1640" s="41" t="s">
        <v>42</v>
      </c>
      <c r="H1640" s="61">
        <v>45581</v>
      </c>
      <c r="I1640" s="59"/>
      <c r="J1640" s="117" t="s">
        <v>900</v>
      </c>
      <c r="K1640" s="22"/>
    </row>
    <row r="1641" spans="2:11">
      <c r="B1641" s="22" t="s">
        <v>788</v>
      </c>
      <c r="C1641" s="28">
        <f>IF(B1641&lt;&gt;"",VLOOKUP(B1641,Projetos!E:F,2,0),"")</f>
        <v>55</v>
      </c>
      <c r="D1641" s="22"/>
      <c r="E1641" s="22" t="s">
        <v>31</v>
      </c>
      <c r="F1641" s="71" t="s">
        <v>982</v>
      </c>
      <c r="G1641" s="41" t="s">
        <v>34</v>
      </c>
      <c r="H1641" s="61">
        <v>45581</v>
      </c>
      <c r="I1641" s="59">
        <v>8.3333333333333329E-2</v>
      </c>
      <c r="J1641" s="117" t="s">
        <v>14</v>
      </c>
      <c r="K1641" s="22"/>
    </row>
    <row r="1642" spans="2:11">
      <c r="B1642" s="22" t="s">
        <v>138</v>
      </c>
      <c r="C1642" s="28">
        <f>IF(B1642&lt;&gt;"",VLOOKUP(B1642,Projetos!E:F,2,0),"")</f>
        <v>30</v>
      </c>
      <c r="D1642" s="22"/>
      <c r="E1642" s="22" t="s">
        <v>16</v>
      </c>
      <c r="F1642" s="71" t="s">
        <v>964</v>
      </c>
      <c r="G1642" s="41" t="s">
        <v>34</v>
      </c>
      <c r="H1642" s="61">
        <v>45581</v>
      </c>
      <c r="I1642" s="59">
        <v>4.1666666666666664E-2</v>
      </c>
      <c r="J1642" s="117" t="s">
        <v>14</v>
      </c>
      <c r="K1642" s="22"/>
    </row>
    <row r="1643" spans="2:11">
      <c r="B1643" s="22" t="s">
        <v>138</v>
      </c>
      <c r="C1643" s="28">
        <f>IF(B1643&lt;&gt;"",VLOOKUP(B1643,Projetos!E:F,2,0),"")</f>
        <v>30</v>
      </c>
      <c r="D1643" s="22"/>
      <c r="E1643" s="22" t="s">
        <v>31</v>
      </c>
      <c r="F1643" s="71" t="s">
        <v>983</v>
      </c>
      <c r="G1643" s="41" t="s">
        <v>34</v>
      </c>
      <c r="H1643" s="61">
        <v>45581</v>
      </c>
      <c r="I1643" s="59">
        <v>0.125</v>
      </c>
      <c r="J1643" s="117" t="s">
        <v>14</v>
      </c>
      <c r="K1643" s="22"/>
    </row>
    <row r="1644" spans="2:11">
      <c r="B1644" s="22" t="s">
        <v>138</v>
      </c>
      <c r="C1644" s="28">
        <f>IF(B1644&lt;&gt;"",VLOOKUP(B1644,Projetos!E:F,2,0),"")</f>
        <v>30</v>
      </c>
      <c r="D1644" s="22"/>
      <c r="E1644" s="22" t="s">
        <v>31</v>
      </c>
      <c r="F1644" s="71" t="s">
        <v>984</v>
      </c>
      <c r="G1644" s="41" t="s">
        <v>34</v>
      </c>
      <c r="H1644" s="61">
        <v>45582</v>
      </c>
      <c r="I1644" s="59">
        <v>8.3333333333333329E-2</v>
      </c>
      <c r="J1644" s="117" t="s">
        <v>14</v>
      </c>
      <c r="K1644" s="22"/>
    </row>
    <row r="1645" spans="2:11">
      <c r="B1645" s="22" t="s">
        <v>968</v>
      </c>
      <c r="C1645" s="28">
        <f>IF(B1645&lt;&gt;"",VLOOKUP(B1645,Projetos!E:F,2,0),"")</f>
        <v>57</v>
      </c>
      <c r="D1645" s="22"/>
      <c r="E1645" s="22" t="s">
        <v>23</v>
      </c>
      <c r="F1645" s="71" t="s">
        <v>985</v>
      </c>
      <c r="G1645" s="41" t="s">
        <v>66</v>
      </c>
      <c r="H1645" s="61">
        <v>45581</v>
      </c>
      <c r="I1645" s="59">
        <v>0.25</v>
      </c>
      <c r="J1645" s="117" t="s">
        <v>14</v>
      </c>
      <c r="K1645" s="22"/>
    </row>
    <row r="1646" spans="2:11">
      <c r="B1646" s="22" t="s">
        <v>968</v>
      </c>
      <c r="C1646" s="28">
        <f>IF(B1646&lt;&gt;"",VLOOKUP(B1646,Projetos!E:F,2,0),"")</f>
        <v>57</v>
      </c>
      <c r="D1646" s="22"/>
      <c r="E1646" s="22" t="s">
        <v>23</v>
      </c>
      <c r="F1646" s="71" t="s">
        <v>985</v>
      </c>
      <c r="G1646" s="41" t="s">
        <v>66</v>
      </c>
      <c r="H1646" s="61">
        <v>45582</v>
      </c>
      <c r="I1646" s="59">
        <v>0.25</v>
      </c>
      <c r="J1646" s="117" t="s">
        <v>14</v>
      </c>
      <c r="K1646" s="22"/>
    </row>
    <row r="1647" spans="2:11">
      <c r="B1647" s="22" t="s">
        <v>968</v>
      </c>
      <c r="C1647" s="28">
        <f>IF(B1647&lt;&gt;"",VLOOKUP(B1647,Projetos!E:F,2,0),"")</f>
        <v>57</v>
      </c>
      <c r="D1647" s="22"/>
      <c r="E1647" s="22" t="s">
        <v>23</v>
      </c>
      <c r="F1647" s="71" t="s">
        <v>985</v>
      </c>
      <c r="G1647" s="41" t="s">
        <v>525</v>
      </c>
      <c r="H1647" s="61">
        <v>45581</v>
      </c>
      <c r="I1647" s="59">
        <v>0.125</v>
      </c>
      <c r="J1647" s="117" t="s">
        <v>14</v>
      </c>
      <c r="K1647" s="22"/>
    </row>
    <row r="1648" spans="2:11">
      <c r="B1648" s="22" t="s">
        <v>968</v>
      </c>
      <c r="C1648" s="28">
        <f>IF(B1648&lt;&gt;"",VLOOKUP(B1648,Projetos!E:F,2,0),"")</f>
        <v>57</v>
      </c>
      <c r="D1648" s="22"/>
      <c r="E1648" s="22" t="s">
        <v>23</v>
      </c>
      <c r="F1648" s="71" t="s">
        <v>974</v>
      </c>
      <c r="G1648" s="41" t="s">
        <v>525</v>
      </c>
      <c r="H1648" s="61">
        <v>45582</v>
      </c>
      <c r="I1648" s="59">
        <v>0.125</v>
      </c>
      <c r="J1648" s="117" t="s">
        <v>14</v>
      </c>
      <c r="K1648" s="22"/>
    </row>
    <row r="1649" spans="2:11">
      <c r="B1649" s="22" t="s">
        <v>643</v>
      </c>
      <c r="C1649" s="28">
        <f>IF(B1649&lt;&gt;"",VLOOKUP(B1649,Projetos!E:F,2,0),"")</f>
        <v>52</v>
      </c>
      <c r="D1649" s="22"/>
      <c r="E1649" s="22" t="s">
        <v>158</v>
      </c>
      <c r="F1649" s="71" t="s">
        <v>966</v>
      </c>
      <c r="G1649" s="41" t="s">
        <v>525</v>
      </c>
      <c r="H1649" s="61">
        <v>45582</v>
      </c>
      <c r="I1649" s="59">
        <v>4.1666666666666664E-2</v>
      </c>
      <c r="J1649" s="117" t="s">
        <v>14</v>
      </c>
      <c r="K1649" s="22"/>
    </row>
    <row r="1650" spans="2:11">
      <c r="B1650" s="22" t="s">
        <v>643</v>
      </c>
      <c r="C1650" s="28">
        <f>IF(B1650&lt;&gt;"",VLOOKUP(B1650,Projetos!E:F,2,0),"")</f>
        <v>52</v>
      </c>
      <c r="D1650" s="22"/>
      <c r="E1650" s="22" t="s">
        <v>158</v>
      </c>
      <c r="F1650" s="71" t="s">
        <v>986</v>
      </c>
      <c r="G1650" s="41" t="s">
        <v>525</v>
      </c>
      <c r="H1650" s="61">
        <v>45582</v>
      </c>
      <c r="I1650" s="59">
        <v>8.3333333333333329E-2</v>
      </c>
      <c r="J1650" s="117" t="s">
        <v>14</v>
      </c>
      <c r="K1650" s="22"/>
    </row>
    <row r="1651" spans="2:11">
      <c r="B1651" s="22" t="s">
        <v>968</v>
      </c>
      <c r="C1651" s="28">
        <f>IF(B1651&lt;&gt;"",VLOOKUP(B1651,Projetos!E:F,2,0),"")</f>
        <v>57</v>
      </c>
      <c r="D1651" s="22"/>
      <c r="E1651" s="22" t="s">
        <v>23</v>
      </c>
      <c r="F1651" s="71" t="s">
        <v>985</v>
      </c>
      <c r="G1651" s="41" t="s">
        <v>528</v>
      </c>
      <c r="H1651" s="61">
        <v>45582</v>
      </c>
      <c r="I1651" s="59">
        <v>0.20833333333333334</v>
      </c>
      <c r="J1651" s="117" t="s">
        <v>14</v>
      </c>
      <c r="K1651" s="22"/>
    </row>
    <row r="1652" spans="2:11">
      <c r="B1652" s="22" t="s">
        <v>788</v>
      </c>
      <c r="C1652" s="28">
        <f>IF(B1652&lt;&gt;"",VLOOKUP(B1652,Projetos!E:F,2,0),"")</f>
        <v>55</v>
      </c>
      <c r="D1652" s="22"/>
      <c r="E1652" s="22" t="s">
        <v>31</v>
      </c>
      <c r="F1652" s="71" t="s">
        <v>987</v>
      </c>
      <c r="G1652" s="41" t="s">
        <v>34</v>
      </c>
      <c r="H1652" s="61">
        <v>45582</v>
      </c>
      <c r="I1652" s="59">
        <v>0.125</v>
      </c>
      <c r="J1652" s="117" t="s">
        <v>14</v>
      </c>
      <c r="K1652" s="22"/>
    </row>
    <row r="1653" spans="2:11">
      <c r="B1653" s="22" t="s">
        <v>138</v>
      </c>
      <c r="C1653" s="28">
        <f>IF(B1653&lt;&gt;"",VLOOKUP(B1653,Projetos!E:F,2,0),"")</f>
        <v>30</v>
      </c>
      <c r="D1653" s="22"/>
      <c r="E1653" s="22" t="s">
        <v>16</v>
      </c>
      <c r="F1653" s="71" t="s">
        <v>964</v>
      </c>
      <c r="G1653" s="41" t="s">
        <v>34</v>
      </c>
      <c r="H1653" s="61">
        <v>45582</v>
      </c>
      <c r="I1653" s="59">
        <v>4.1666666666666664E-2</v>
      </c>
      <c r="J1653" s="117" t="s">
        <v>14</v>
      </c>
      <c r="K1653" s="22"/>
    </row>
    <row r="1654" spans="2:11">
      <c r="B1654" s="22" t="s">
        <v>138</v>
      </c>
      <c r="C1654" s="28">
        <f>IF(B1654&lt;&gt;"",VLOOKUP(B1654,Projetos!E:F,2,0),"")</f>
        <v>30</v>
      </c>
      <c r="D1654" s="22"/>
      <c r="E1654" s="22" t="s">
        <v>16</v>
      </c>
      <c r="F1654" s="71" t="s">
        <v>964</v>
      </c>
      <c r="G1654" s="41" t="s">
        <v>34</v>
      </c>
      <c r="H1654" s="61">
        <v>45583</v>
      </c>
      <c r="I1654" s="59">
        <v>4.1666666666666664E-2</v>
      </c>
      <c r="J1654" s="117" t="s">
        <v>14</v>
      </c>
      <c r="K1654" s="22"/>
    </row>
    <row r="1655" spans="2:11">
      <c r="B1655" s="22" t="s">
        <v>788</v>
      </c>
      <c r="C1655" s="28">
        <f>IF(B1655&lt;&gt;"",VLOOKUP(B1655,Projetos!E:F,2,0),"")</f>
        <v>55</v>
      </c>
      <c r="D1655" s="22"/>
      <c r="E1655" s="22" t="s">
        <v>31</v>
      </c>
      <c r="F1655" s="71" t="s">
        <v>987</v>
      </c>
      <c r="G1655" s="41" t="s">
        <v>34</v>
      </c>
      <c r="H1655" s="61">
        <v>45583</v>
      </c>
      <c r="I1655" s="59">
        <v>0.16666666666666666</v>
      </c>
      <c r="J1655" s="117" t="s">
        <v>14</v>
      </c>
      <c r="K1655" s="22"/>
    </row>
    <row r="1656" spans="2:11">
      <c r="B1656" s="22" t="s">
        <v>968</v>
      </c>
      <c r="C1656" s="28">
        <f>IF(B1656&lt;&gt;"",VLOOKUP(B1656,Projetos!E:F,2,0),"")</f>
        <v>57</v>
      </c>
      <c r="D1656" s="22"/>
      <c r="E1656" s="22" t="s">
        <v>23</v>
      </c>
      <c r="F1656" s="71" t="s">
        <v>985</v>
      </c>
      <c r="G1656" s="41" t="s">
        <v>528</v>
      </c>
      <c r="H1656" s="61">
        <v>45583</v>
      </c>
      <c r="I1656" s="59">
        <v>0.20833333333333334</v>
      </c>
      <c r="J1656" s="117" t="s">
        <v>14</v>
      </c>
      <c r="K1656" s="22"/>
    </row>
    <row r="1657" spans="2:11">
      <c r="B1657" s="22" t="s">
        <v>140</v>
      </c>
      <c r="C1657" s="28">
        <f>IF(B1657&lt;&gt;"",VLOOKUP(B1657,Projetos!E:F,2,0),"")</f>
        <v>39</v>
      </c>
      <c r="D1657" s="22"/>
      <c r="E1657" s="22" t="s">
        <v>23</v>
      </c>
      <c r="F1657" s="71" t="s">
        <v>988</v>
      </c>
      <c r="G1657" s="41" t="s">
        <v>19</v>
      </c>
      <c r="H1657" s="61">
        <v>45579</v>
      </c>
      <c r="I1657" s="59">
        <v>0.29166666666666669</v>
      </c>
      <c r="J1657" s="117" t="s">
        <v>14</v>
      </c>
      <c r="K1657" s="22"/>
    </row>
    <row r="1658" spans="2:11">
      <c r="B1658" s="22" t="s">
        <v>140</v>
      </c>
      <c r="C1658" s="28">
        <f>IF(B1658&lt;&gt;"",VLOOKUP(B1658,Projetos!E:F,2,0),"")</f>
        <v>39</v>
      </c>
      <c r="D1658" s="22"/>
      <c r="E1658" s="22" t="s">
        <v>23</v>
      </c>
      <c r="F1658" s="71" t="s">
        <v>988</v>
      </c>
      <c r="G1658" s="41" t="s">
        <v>19</v>
      </c>
      <c r="H1658" s="61">
        <v>45580</v>
      </c>
      <c r="I1658" s="59">
        <v>0.29166666666666669</v>
      </c>
      <c r="J1658" s="117" t="s">
        <v>14</v>
      </c>
      <c r="K1658" s="22"/>
    </row>
    <row r="1659" spans="2:11">
      <c r="B1659" s="22" t="s">
        <v>140</v>
      </c>
      <c r="C1659" s="28">
        <f>IF(B1659&lt;&gt;"",VLOOKUP(B1659,Projetos!E:F,2,0),"")</f>
        <v>39</v>
      </c>
      <c r="D1659" s="22"/>
      <c r="E1659" s="22" t="s">
        <v>23</v>
      </c>
      <c r="F1659" s="71" t="s">
        <v>988</v>
      </c>
      <c r="G1659" s="41" t="s">
        <v>19</v>
      </c>
      <c r="H1659" s="61">
        <v>45581</v>
      </c>
      <c r="I1659" s="59">
        <v>0.29166666666666669</v>
      </c>
      <c r="J1659" s="117" t="s">
        <v>14</v>
      </c>
      <c r="K1659" s="22"/>
    </row>
    <row r="1660" spans="2:11">
      <c r="B1660" s="22" t="s">
        <v>140</v>
      </c>
      <c r="C1660" s="28">
        <f>IF(B1660&lt;&gt;"",VLOOKUP(B1660,Projetos!E:F,2,0),"")</f>
        <v>39</v>
      </c>
      <c r="D1660" s="22"/>
      <c r="E1660" s="22" t="s">
        <v>23</v>
      </c>
      <c r="F1660" s="71" t="s">
        <v>988</v>
      </c>
      <c r="G1660" s="41" t="s">
        <v>19</v>
      </c>
      <c r="H1660" s="61">
        <v>45582</v>
      </c>
      <c r="I1660" s="59">
        <v>0.29166666666666669</v>
      </c>
      <c r="J1660" s="117" t="s">
        <v>14</v>
      </c>
      <c r="K1660" s="22"/>
    </row>
    <row r="1661" spans="2:11">
      <c r="B1661" s="22" t="s">
        <v>140</v>
      </c>
      <c r="C1661" s="28">
        <f>IF(B1661&lt;&gt;"",VLOOKUP(B1661,Projetos!E:F,2,0),"")</f>
        <v>39</v>
      </c>
      <c r="D1661" s="22"/>
      <c r="E1661" s="22" t="s">
        <v>23</v>
      </c>
      <c r="F1661" s="71" t="s">
        <v>988</v>
      </c>
      <c r="G1661" s="41" t="s">
        <v>19</v>
      </c>
      <c r="H1661" s="61">
        <v>45583</v>
      </c>
      <c r="I1661" s="59">
        <v>0.29166666666666669</v>
      </c>
      <c r="J1661" s="117" t="s">
        <v>14</v>
      </c>
      <c r="K1661" s="22"/>
    </row>
    <row r="1662" spans="2:11">
      <c r="B1662" s="22" t="s">
        <v>140</v>
      </c>
      <c r="C1662" s="28">
        <f>IF(B1662&lt;&gt;"",VLOOKUP(B1662,Projetos!E:F,2,0),"")</f>
        <v>39</v>
      </c>
      <c r="D1662" s="22"/>
      <c r="E1662" s="22" t="s">
        <v>23</v>
      </c>
      <c r="F1662" s="71" t="s">
        <v>988</v>
      </c>
      <c r="G1662" s="41" t="s">
        <v>19</v>
      </c>
      <c r="H1662" s="61">
        <v>45586</v>
      </c>
      <c r="I1662" s="59">
        <v>0.29166666666666669</v>
      </c>
      <c r="J1662" s="117" t="s">
        <v>14</v>
      </c>
      <c r="K1662" s="22"/>
    </row>
    <row r="1663" spans="2:11">
      <c r="B1663" s="22" t="s">
        <v>968</v>
      </c>
      <c r="C1663" s="28">
        <v>57</v>
      </c>
      <c r="D1663" s="22"/>
      <c r="E1663" s="22" t="s">
        <v>23</v>
      </c>
      <c r="F1663" s="71" t="s">
        <v>985</v>
      </c>
      <c r="G1663" s="41" t="s">
        <v>528</v>
      </c>
      <c r="H1663" s="61">
        <v>45586</v>
      </c>
      <c r="I1663" s="59">
        <v>0.20833333333333334</v>
      </c>
      <c r="J1663" s="117" t="s">
        <v>14</v>
      </c>
      <c r="K1663" s="22"/>
    </row>
    <row r="1664" spans="2:11">
      <c r="B1664" s="22" t="s">
        <v>788</v>
      </c>
      <c r="C1664" s="28">
        <f>IF(B1664&lt;&gt;"",VLOOKUP(B1664,Projetos!E:F,2,0),"")</f>
        <v>55</v>
      </c>
      <c r="D1664" s="22"/>
      <c r="E1664" s="22" t="s">
        <v>31</v>
      </c>
      <c r="F1664" s="71" t="s">
        <v>987</v>
      </c>
      <c r="G1664" s="41" t="s">
        <v>34</v>
      </c>
      <c r="H1664" s="61">
        <v>45586</v>
      </c>
      <c r="I1664" s="59">
        <v>0.20833333333333334</v>
      </c>
      <c r="J1664" s="117" t="s">
        <v>14</v>
      </c>
      <c r="K1664" s="22"/>
    </row>
    <row r="1665" spans="2:11">
      <c r="B1665" s="22" t="s">
        <v>788</v>
      </c>
      <c r="C1665" s="28">
        <f>IF(B1665&lt;&gt;"",VLOOKUP(B1665,Projetos!E:F,2,0),"")</f>
        <v>55</v>
      </c>
      <c r="D1665" s="22"/>
      <c r="E1665" s="22" t="s">
        <v>31</v>
      </c>
      <c r="F1665" s="71" t="s">
        <v>989</v>
      </c>
      <c r="G1665" s="41" t="s">
        <v>42</v>
      </c>
      <c r="H1665" s="61">
        <v>45586</v>
      </c>
      <c r="I1665" s="59">
        <v>8.3333333333333329E-2</v>
      </c>
      <c r="J1665" s="117" t="s">
        <v>14</v>
      </c>
      <c r="K1665" s="22"/>
    </row>
    <row r="1666" spans="2:11">
      <c r="B1666" s="22" t="s">
        <v>788</v>
      </c>
      <c r="C1666" s="28">
        <f>IF(B1666&lt;&gt;"",VLOOKUP(B1666,Projetos!E:F,2,0),"")</f>
        <v>55</v>
      </c>
      <c r="D1666" s="22"/>
      <c r="E1666" s="22" t="s">
        <v>40</v>
      </c>
      <c r="F1666" s="71" t="s">
        <v>990</v>
      </c>
      <c r="G1666" s="41" t="s">
        <v>42</v>
      </c>
      <c r="H1666" s="61">
        <v>45586</v>
      </c>
      <c r="I1666" s="59">
        <v>0.25</v>
      </c>
      <c r="J1666" s="117" t="s">
        <v>14</v>
      </c>
      <c r="K1666" s="22"/>
    </row>
    <row r="1667" spans="2:11">
      <c r="B1667" s="22" t="s">
        <v>788</v>
      </c>
      <c r="C1667" s="28">
        <f>IF(B1667&lt;&gt;"",VLOOKUP(B1667,Projetos!E:F,2,0),"")</f>
        <v>55</v>
      </c>
      <c r="D1667" s="22"/>
      <c r="E1667" s="22" t="s">
        <v>31</v>
      </c>
      <c r="F1667" s="71" t="s">
        <v>987</v>
      </c>
      <c r="G1667" s="41" t="s">
        <v>34</v>
      </c>
      <c r="H1667" s="61">
        <v>45587</v>
      </c>
      <c r="I1667" s="59">
        <v>0.20833333333333334</v>
      </c>
      <c r="J1667" s="117" t="s">
        <v>14</v>
      </c>
      <c r="K1667" s="22"/>
    </row>
    <row r="1668" spans="2:11">
      <c r="B1668" s="22" t="s">
        <v>968</v>
      </c>
      <c r="C1668" s="28">
        <f>IF(B1668&lt;&gt;"",VLOOKUP(B1668,Projetos!E:F,2,0),"")</f>
        <v>57</v>
      </c>
      <c r="D1668" s="22"/>
      <c r="E1668" s="22" t="s">
        <v>23</v>
      </c>
      <c r="F1668" s="71" t="s">
        <v>985</v>
      </c>
      <c r="G1668" s="41" t="s">
        <v>528</v>
      </c>
      <c r="H1668" s="61">
        <v>45587</v>
      </c>
      <c r="I1668" s="59">
        <v>0.20833333333333334</v>
      </c>
      <c r="J1668" s="117" t="s">
        <v>14</v>
      </c>
      <c r="K1668" s="22"/>
    </row>
    <row r="1669" spans="2:11" ht="30">
      <c r="B1669" s="22" t="s">
        <v>138</v>
      </c>
      <c r="C1669" s="28">
        <f>IF(B1669&lt;&gt;"",VLOOKUP(B1669,Projetos!E:F,2,0),"")</f>
        <v>30</v>
      </c>
      <c r="D1669" s="22"/>
      <c r="E1669" s="22" t="s">
        <v>26</v>
      </c>
      <c r="F1669" s="71" t="s">
        <v>991</v>
      </c>
      <c r="G1669" s="41" t="s">
        <v>34</v>
      </c>
      <c r="H1669" s="61">
        <v>45588</v>
      </c>
      <c r="I1669" s="59">
        <v>0.125</v>
      </c>
      <c r="J1669" s="117" t="s">
        <v>14</v>
      </c>
      <c r="K1669" s="22"/>
    </row>
    <row r="1670" spans="2:11" ht="30">
      <c r="B1670" s="22" t="s">
        <v>138</v>
      </c>
      <c r="C1670" s="28">
        <f>IF(B1670&lt;&gt;"",VLOOKUP(B1670,Projetos!E:F,2,0),"")</f>
        <v>30</v>
      </c>
      <c r="D1670" s="22"/>
      <c r="E1670" s="22" t="s">
        <v>26</v>
      </c>
      <c r="F1670" s="71" t="s">
        <v>992</v>
      </c>
      <c r="G1670" s="41" t="s">
        <v>34</v>
      </c>
      <c r="H1670" s="61">
        <v>45588</v>
      </c>
      <c r="I1670" s="59">
        <v>0.125</v>
      </c>
      <c r="J1670" s="117" t="s">
        <v>14</v>
      </c>
      <c r="K1670" s="22"/>
    </row>
    <row r="1671" spans="2:11">
      <c r="B1671" s="22" t="s">
        <v>968</v>
      </c>
      <c r="C1671" s="28">
        <f>IF(B1671&lt;&gt;"",VLOOKUP(B1671,Projetos!E:F,2,0),"")</f>
        <v>57</v>
      </c>
      <c r="D1671" s="22"/>
      <c r="E1671" s="22" t="s">
        <v>23</v>
      </c>
      <c r="F1671" s="71" t="s">
        <v>985</v>
      </c>
      <c r="G1671" s="41" t="s">
        <v>528</v>
      </c>
      <c r="H1671" s="61">
        <v>45588</v>
      </c>
      <c r="I1671" s="59">
        <v>0.20833333333333334</v>
      </c>
      <c r="J1671" s="117" t="s">
        <v>14</v>
      </c>
      <c r="K1671" s="22"/>
    </row>
    <row r="1672" spans="2:11">
      <c r="B1672" s="22" t="s">
        <v>968</v>
      </c>
      <c r="C1672" s="28">
        <f>IF(B1672&lt;&gt;"",VLOOKUP(B1672,Projetos!E:F,2,0),"")</f>
        <v>57</v>
      </c>
      <c r="D1672" s="22"/>
      <c r="E1672" s="22" t="s">
        <v>23</v>
      </c>
      <c r="F1672" s="71" t="s">
        <v>985</v>
      </c>
      <c r="G1672" s="41" t="s">
        <v>528</v>
      </c>
      <c r="H1672" s="61">
        <v>45590</v>
      </c>
      <c r="I1672" s="59">
        <v>0.20833333333333334</v>
      </c>
      <c r="J1672" s="117" t="s">
        <v>14</v>
      </c>
      <c r="K1672" s="22"/>
    </row>
    <row r="1673" spans="2:11">
      <c r="B1673" s="22" t="s">
        <v>788</v>
      </c>
      <c r="C1673" s="28">
        <f>IF(B1673&lt;&gt;"",VLOOKUP(B1673,Projetos!E:F,2,0),"")</f>
        <v>55</v>
      </c>
      <c r="D1673" s="22"/>
      <c r="E1673" s="22" t="s">
        <v>31</v>
      </c>
      <c r="F1673" s="71" t="s">
        <v>965</v>
      </c>
      <c r="G1673" s="41" t="s">
        <v>34</v>
      </c>
      <c r="H1673" s="61">
        <v>45590</v>
      </c>
      <c r="I1673" s="59">
        <v>0.20833333333333334</v>
      </c>
      <c r="J1673" s="117" t="s">
        <v>14</v>
      </c>
      <c r="K1673" s="22"/>
    </row>
    <row r="1674" spans="2:11">
      <c r="B1674" s="22" t="s">
        <v>643</v>
      </c>
      <c r="C1674" s="28">
        <f>IF(B1674&lt;&gt;"",VLOOKUP(B1674,Projetos!E:F,2,0),"")</f>
        <v>52</v>
      </c>
      <c r="D1674" s="22"/>
      <c r="E1674" s="22" t="s">
        <v>144</v>
      </c>
      <c r="F1674" s="71" t="s">
        <v>993</v>
      </c>
      <c r="G1674" s="41" t="s">
        <v>525</v>
      </c>
      <c r="H1674" s="61">
        <v>45586</v>
      </c>
      <c r="I1674" s="59">
        <v>8.3333333333333329E-2</v>
      </c>
      <c r="J1674" s="117" t="s">
        <v>14</v>
      </c>
      <c r="K1674" s="22"/>
    </row>
    <row r="1675" spans="2:11">
      <c r="B1675" s="22" t="s">
        <v>643</v>
      </c>
      <c r="C1675" s="28">
        <f>IF(B1675&lt;&gt;"",VLOOKUP(B1675,Projetos!E:F,2,0),"")</f>
        <v>52</v>
      </c>
      <c r="D1675" s="22"/>
      <c r="E1675" s="22" t="s">
        <v>144</v>
      </c>
      <c r="F1675" s="71" t="s">
        <v>993</v>
      </c>
      <c r="G1675" s="41" t="s">
        <v>525</v>
      </c>
      <c r="H1675" s="61">
        <v>45593</v>
      </c>
      <c r="I1675" s="59">
        <v>4.1666666666666664E-2</v>
      </c>
      <c r="J1675" s="117" t="s">
        <v>14</v>
      </c>
      <c r="K1675" s="22"/>
    </row>
    <row r="1676" spans="2:11">
      <c r="B1676" s="22" t="s">
        <v>968</v>
      </c>
      <c r="C1676" s="28">
        <f>IF(B1676&lt;&gt;"",VLOOKUP(B1676,Projetos!E:F,2,0),"")</f>
        <v>57</v>
      </c>
      <c r="D1676" s="22"/>
      <c r="E1676" s="22" t="s">
        <v>23</v>
      </c>
      <c r="F1676" s="71" t="s">
        <v>985</v>
      </c>
      <c r="G1676" s="41" t="s">
        <v>525</v>
      </c>
      <c r="H1676" s="61">
        <v>45593</v>
      </c>
      <c r="I1676" s="59">
        <v>0.20833333333333334</v>
      </c>
      <c r="J1676" s="117" t="s">
        <v>14</v>
      </c>
      <c r="K1676" s="22"/>
    </row>
    <row r="1677" spans="2:11">
      <c r="B1677" s="22" t="s">
        <v>192</v>
      </c>
      <c r="C1677" s="28">
        <f>IF(B1677&lt;&gt;"",VLOOKUP(B1677,Projetos!E:F,2,0),"")</f>
        <v>32</v>
      </c>
      <c r="D1677" s="22"/>
      <c r="E1677" s="22" t="s">
        <v>193</v>
      </c>
      <c r="F1677" s="71" t="s">
        <v>994</v>
      </c>
      <c r="G1677" s="41" t="s">
        <v>34</v>
      </c>
      <c r="H1677" s="61">
        <v>45593</v>
      </c>
      <c r="I1677" s="59">
        <v>0.25</v>
      </c>
      <c r="J1677" s="117" t="s">
        <v>14</v>
      </c>
      <c r="K1677" s="22"/>
    </row>
    <row r="1678" spans="2:11">
      <c r="B1678" s="22" t="s">
        <v>968</v>
      </c>
      <c r="C1678" s="28">
        <f>IF(B1678&lt;&gt;"",VLOOKUP(B1678,Projetos!E:F,2,0),"")</f>
        <v>57</v>
      </c>
      <c r="D1678" s="22"/>
      <c r="E1678" s="22" t="s">
        <v>23</v>
      </c>
      <c r="F1678" s="71" t="s">
        <v>995</v>
      </c>
      <c r="G1678" s="41" t="s">
        <v>64</v>
      </c>
      <c r="H1678" s="61">
        <v>45573</v>
      </c>
      <c r="I1678" s="59">
        <v>0.125</v>
      </c>
      <c r="J1678" s="117" t="s">
        <v>14</v>
      </c>
      <c r="K1678" s="22"/>
    </row>
    <row r="1679" spans="2:11">
      <c r="B1679" s="22" t="s">
        <v>968</v>
      </c>
      <c r="C1679" s="28">
        <f>IF(B1679&lt;&gt;"",VLOOKUP(B1679,Projetos!E:F,2,0),"")</f>
        <v>57</v>
      </c>
      <c r="D1679" s="22"/>
      <c r="E1679" s="22" t="s">
        <v>23</v>
      </c>
      <c r="F1679" s="71" t="s">
        <v>995</v>
      </c>
      <c r="G1679" s="41" t="s">
        <v>64</v>
      </c>
      <c r="H1679" s="61">
        <v>45574</v>
      </c>
      <c r="I1679" s="59">
        <v>0.33333333333333331</v>
      </c>
      <c r="J1679" s="117" t="s">
        <v>14</v>
      </c>
      <c r="K1679" s="22"/>
    </row>
    <row r="1680" spans="2:11">
      <c r="B1680" s="22" t="s">
        <v>968</v>
      </c>
      <c r="C1680" s="28">
        <f>IF(B1680&lt;&gt;"",VLOOKUP(B1680,Projetos!E:F,2,0),"")</f>
        <v>57</v>
      </c>
      <c r="D1680" s="22"/>
      <c r="E1680" s="22" t="s">
        <v>23</v>
      </c>
      <c r="F1680" s="71" t="s">
        <v>995</v>
      </c>
      <c r="G1680" s="41" t="s">
        <v>64</v>
      </c>
      <c r="H1680" s="61">
        <v>45575</v>
      </c>
      <c r="I1680" s="59">
        <v>0.33333333333333331</v>
      </c>
      <c r="J1680" s="117" t="s">
        <v>14</v>
      </c>
      <c r="K1680" s="22"/>
    </row>
    <row r="1681" spans="2:11">
      <c r="B1681" s="22" t="s">
        <v>968</v>
      </c>
      <c r="C1681" s="28">
        <f>IF(B1681&lt;&gt;"",VLOOKUP(B1681,Projetos!E:F,2,0),"")</f>
        <v>57</v>
      </c>
      <c r="D1681" s="22"/>
      <c r="E1681" s="22" t="s">
        <v>23</v>
      </c>
      <c r="F1681" s="71" t="s">
        <v>995</v>
      </c>
      <c r="G1681" s="41" t="s">
        <v>64</v>
      </c>
      <c r="H1681" s="61">
        <v>45576</v>
      </c>
      <c r="I1681" s="59">
        <v>0.33333333333333331</v>
      </c>
      <c r="J1681" s="117" t="s">
        <v>14</v>
      </c>
      <c r="K1681" s="22"/>
    </row>
    <row r="1682" spans="2:11">
      <c r="B1682" s="22" t="s">
        <v>968</v>
      </c>
      <c r="C1682" s="28">
        <f>IF(B1682&lt;&gt;"",VLOOKUP(B1682,Projetos!E:F,2,0),"")</f>
        <v>57</v>
      </c>
      <c r="D1682" s="22"/>
      <c r="E1682" s="22" t="s">
        <v>23</v>
      </c>
      <c r="F1682" s="71" t="s">
        <v>995</v>
      </c>
      <c r="G1682" s="41" t="s">
        <v>64</v>
      </c>
      <c r="H1682" s="61">
        <v>45579</v>
      </c>
      <c r="I1682" s="59">
        <v>0.33333333333333331</v>
      </c>
      <c r="J1682" s="117" t="s">
        <v>14</v>
      </c>
      <c r="K1682" s="22"/>
    </row>
    <row r="1683" spans="2:11">
      <c r="B1683" s="22" t="s">
        <v>968</v>
      </c>
      <c r="C1683" s="28">
        <f>IF(B1683&lt;&gt;"",VLOOKUP(B1683,Projetos!E:F,2,0),"")</f>
        <v>57</v>
      </c>
      <c r="D1683" s="22"/>
      <c r="E1683" s="22" t="s">
        <v>23</v>
      </c>
      <c r="F1683" s="71" t="s">
        <v>995</v>
      </c>
      <c r="G1683" s="41" t="s">
        <v>64</v>
      </c>
      <c r="H1683" s="61">
        <v>45580</v>
      </c>
      <c r="I1683" s="59">
        <v>0.33333333333333331</v>
      </c>
      <c r="J1683" s="117" t="s">
        <v>14</v>
      </c>
      <c r="K1683" s="22"/>
    </row>
    <row r="1684" spans="2:11">
      <c r="B1684" s="22" t="s">
        <v>968</v>
      </c>
      <c r="C1684" s="28">
        <f>IF(B1684&lt;&gt;"",VLOOKUP(B1684,Projetos!E:F,2,0),"")</f>
        <v>57</v>
      </c>
      <c r="D1684" s="22"/>
      <c r="E1684" s="22" t="s">
        <v>23</v>
      </c>
      <c r="F1684" s="71" t="s">
        <v>995</v>
      </c>
      <c r="G1684" s="41" t="s">
        <v>64</v>
      </c>
      <c r="H1684" s="61">
        <v>45581</v>
      </c>
      <c r="I1684" s="59">
        <v>0.33333333333333331</v>
      </c>
      <c r="J1684" s="117" t="s">
        <v>14</v>
      </c>
      <c r="K1684" s="22"/>
    </row>
    <row r="1685" spans="2:11">
      <c r="B1685" s="22" t="s">
        <v>968</v>
      </c>
      <c r="C1685" s="28">
        <f>IF(B1685&lt;&gt;"",VLOOKUP(B1685,Projetos!E:F,2,0),"")</f>
        <v>57</v>
      </c>
      <c r="D1685" s="22"/>
      <c r="E1685" s="22" t="s">
        <v>23</v>
      </c>
      <c r="F1685" s="71" t="s">
        <v>995</v>
      </c>
      <c r="G1685" s="41" t="s">
        <v>64</v>
      </c>
      <c r="H1685" s="61">
        <v>45586</v>
      </c>
      <c r="I1685" s="59">
        <v>0.33333333333333331</v>
      </c>
      <c r="J1685" s="117" t="s">
        <v>14</v>
      </c>
      <c r="K1685" s="22"/>
    </row>
    <row r="1686" spans="2:11">
      <c r="B1686" s="22" t="s">
        <v>968</v>
      </c>
      <c r="C1686" s="28">
        <f>IF(B1686&lt;&gt;"",VLOOKUP(B1686,Projetos!E:F,2,0),"")</f>
        <v>57</v>
      </c>
      <c r="D1686" s="22"/>
      <c r="E1686" s="22" t="s">
        <v>23</v>
      </c>
      <c r="F1686" s="71" t="s">
        <v>995</v>
      </c>
      <c r="G1686" s="41" t="s">
        <v>64</v>
      </c>
      <c r="H1686" s="61">
        <v>45587</v>
      </c>
      <c r="I1686" s="59">
        <v>0.33333333333333331</v>
      </c>
      <c r="J1686" s="117" t="s">
        <v>14</v>
      </c>
      <c r="K1686" s="22"/>
    </row>
    <row r="1687" spans="2:11">
      <c r="B1687" s="22" t="s">
        <v>968</v>
      </c>
      <c r="C1687" s="28">
        <f>IF(B1687&lt;&gt;"",VLOOKUP(B1687,Projetos!E:F,2,0),"")</f>
        <v>57</v>
      </c>
      <c r="D1687" s="22"/>
      <c r="E1687" s="22" t="s">
        <v>23</v>
      </c>
      <c r="F1687" s="71" t="s">
        <v>995</v>
      </c>
      <c r="G1687" s="41" t="s">
        <v>64</v>
      </c>
      <c r="H1687" s="61">
        <v>45588</v>
      </c>
      <c r="I1687" s="59">
        <v>0.33333333333333331</v>
      </c>
      <c r="J1687" s="117" t="s">
        <v>14</v>
      </c>
      <c r="K1687" s="22"/>
    </row>
    <row r="1688" spans="2:11">
      <c r="B1688" s="22" t="s">
        <v>788</v>
      </c>
      <c r="C1688" s="28">
        <f>IF(B1688&lt;&gt;"",VLOOKUP(B1688,Projetos!E:F,2,0),"")</f>
        <v>55</v>
      </c>
      <c r="D1688" s="22"/>
      <c r="E1688" s="22" t="s">
        <v>49</v>
      </c>
      <c r="F1688" s="71" t="s">
        <v>996</v>
      </c>
      <c r="G1688" s="41" t="s">
        <v>64</v>
      </c>
      <c r="H1688" s="61">
        <v>45590</v>
      </c>
      <c r="I1688" s="59">
        <v>0.47916666666666669</v>
      </c>
      <c r="J1688" s="117" t="s">
        <v>14</v>
      </c>
      <c r="K1688" s="22"/>
    </row>
    <row r="1689" spans="2:11">
      <c r="B1689" s="22" t="s">
        <v>968</v>
      </c>
      <c r="C1689" s="28">
        <f>IF(B1689&lt;&gt;"",VLOOKUP(B1689,Projetos!E:F,2,0),"")</f>
        <v>57</v>
      </c>
      <c r="D1689" s="22"/>
      <c r="E1689" s="22" t="s">
        <v>23</v>
      </c>
      <c r="F1689" s="71" t="s">
        <v>995</v>
      </c>
      <c r="G1689" s="41" t="s">
        <v>66</v>
      </c>
      <c r="H1689" s="61">
        <v>45583</v>
      </c>
      <c r="I1689" s="59">
        <v>0.25</v>
      </c>
      <c r="J1689" s="117" t="s">
        <v>14</v>
      </c>
      <c r="K1689" s="22"/>
    </row>
    <row r="1690" spans="2:11">
      <c r="B1690" s="22" t="s">
        <v>968</v>
      </c>
      <c r="C1690" s="28">
        <f>IF(B1690&lt;&gt;"",VLOOKUP(B1690,Projetos!E:F,2,0),"")</f>
        <v>57</v>
      </c>
      <c r="D1690" s="22"/>
      <c r="E1690" s="22" t="s">
        <v>23</v>
      </c>
      <c r="F1690" s="71" t="s">
        <v>995</v>
      </c>
      <c r="G1690" s="41" t="s">
        <v>66</v>
      </c>
      <c r="H1690" s="61">
        <v>45586</v>
      </c>
      <c r="I1690" s="59">
        <v>0.25</v>
      </c>
      <c r="J1690" s="117" t="s">
        <v>14</v>
      </c>
      <c r="K1690" s="22"/>
    </row>
    <row r="1691" spans="2:11">
      <c r="B1691" s="22" t="s">
        <v>968</v>
      </c>
      <c r="C1691" s="28">
        <f>IF(B1691&lt;&gt;"",VLOOKUP(B1691,Projetos!E:F,2,0),"")</f>
        <v>57</v>
      </c>
      <c r="D1691" s="22"/>
      <c r="E1691" s="22" t="s">
        <v>23</v>
      </c>
      <c r="F1691" s="71" t="s">
        <v>995</v>
      </c>
      <c r="G1691" s="41" t="s">
        <v>66</v>
      </c>
      <c r="H1691" s="61">
        <v>45587</v>
      </c>
      <c r="I1691" s="59">
        <v>0.25</v>
      </c>
      <c r="J1691" s="117" t="s">
        <v>14</v>
      </c>
      <c r="K1691" s="22"/>
    </row>
    <row r="1692" spans="2:11">
      <c r="B1692" s="22" t="s">
        <v>968</v>
      </c>
      <c r="C1692" s="28">
        <f>IF(B1692&lt;&gt;"",VLOOKUP(B1692,Projetos!E:F,2,0),"")</f>
        <v>57</v>
      </c>
      <c r="D1692" s="22"/>
      <c r="E1692" s="22" t="s">
        <v>23</v>
      </c>
      <c r="F1692" s="71" t="s">
        <v>995</v>
      </c>
      <c r="G1692" s="41" t="s">
        <v>66</v>
      </c>
      <c r="H1692" s="61">
        <v>45588</v>
      </c>
      <c r="I1692" s="59">
        <v>0.25</v>
      </c>
      <c r="J1692" s="117" t="s">
        <v>14</v>
      </c>
      <c r="K1692" s="22"/>
    </row>
    <row r="1693" spans="2:11">
      <c r="B1693" s="22" t="s">
        <v>968</v>
      </c>
      <c r="C1693" s="28">
        <f>IF(B1693&lt;&gt;"",VLOOKUP(B1693,Projetos!E:F,2,0),"")</f>
        <v>57</v>
      </c>
      <c r="D1693" s="22"/>
      <c r="E1693" s="22" t="s">
        <v>23</v>
      </c>
      <c r="F1693" s="71" t="s">
        <v>995</v>
      </c>
      <c r="G1693" s="41" t="s">
        <v>66</v>
      </c>
      <c r="H1693" s="61">
        <v>45590</v>
      </c>
      <c r="I1693" s="59">
        <v>0.25</v>
      </c>
      <c r="J1693" s="117" t="s">
        <v>14</v>
      </c>
      <c r="K1693" s="22"/>
    </row>
    <row r="1694" spans="2:11">
      <c r="B1694" s="22" t="s">
        <v>156</v>
      </c>
      <c r="C1694" s="28">
        <f>IF(B1694&lt;&gt;"",VLOOKUP(B1694,Projetos!E:F,2,0),"")</f>
        <v>3</v>
      </c>
      <c r="D1694" s="22"/>
      <c r="E1694" s="22" t="s">
        <v>49</v>
      </c>
      <c r="F1694" s="71" t="s">
        <v>997</v>
      </c>
      <c r="G1694" s="41" t="s">
        <v>66</v>
      </c>
      <c r="H1694" s="61">
        <v>45593</v>
      </c>
      <c r="I1694" s="59">
        <v>0.25</v>
      </c>
      <c r="J1694" s="117" t="s">
        <v>14</v>
      </c>
      <c r="K1694" s="22"/>
    </row>
    <row r="1695" spans="2:11">
      <c r="B1695" s="22" t="s">
        <v>156</v>
      </c>
      <c r="C1695" s="28">
        <f>IF(B1695&lt;&gt;"",VLOOKUP(B1695,Projetos!E:F,2,0),"")</f>
        <v>3</v>
      </c>
      <c r="D1695" s="22"/>
      <c r="E1695" s="22" t="s">
        <v>49</v>
      </c>
      <c r="F1695" s="71" t="s">
        <v>997</v>
      </c>
      <c r="G1695" s="41" t="s">
        <v>66</v>
      </c>
      <c r="H1695" s="61">
        <v>45594</v>
      </c>
      <c r="I1695" s="59">
        <v>0.25</v>
      </c>
      <c r="J1695" s="117" t="s">
        <v>14</v>
      </c>
      <c r="K1695" s="22"/>
    </row>
    <row r="1696" spans="2:11">
      <c r="B1696" s="22" t="s">
        <v>968</v>
      </c>
      <c r="C1696" s="28"/>
      <c r="D1696" s="22"/>
      <c r="E1696" s="22" t="s">
        <v>23</v>
      </c>
      <c r="F1696" s="71" t="s">
        <v>985</v>
      </c>
      <c r="G1696" s="41" t="s">
        <v>525</v>
      </c>
      <c r="H1696" s="61">
        <v>45594</v>
      </c>
      <c r="I1696" s="59">
        <v>0.20833333333333334</v>
      </c>
      <c r="J1696" s="117" t="s">
        <v>14</v>
      </c>
      <c r="K1696" s="22"/>
    </row>
    <row r="1697" spans="2:11">
      <c r="B1697" s="22" t="s">
        <v>968</v>
      </c>
      <c r="C1697" s="28">
        <f>IF(B1697&lt;&gt;"",VLOOKUP(B1697,Projetos!E:F,2,0),"")</f>
        <v>57</v>
      </c>
      <c r="D1697" s="22"/>
      <c r="E1697" s="22" t="s">
        <v>23</v>
      </c>
      <c r="F1697" s="71" t="s">
        <v>974</v>
      </c>
      <c r="G1697" s="41" t="s">
        <v>525</v>
      </c>
      <c r="H1697" s="61">
        <v>45594</v>
      </c>
      <c r="I1697" s="59">
        <v>4.1666666666666664E-2</v>
      </c>
      <c r="J1697" s="117" t="s">
        <v>14</v>
      </c>
      <c r="K1697" s="22"/>
    </row>
    <row r="1698" spans="2:11">
      <c r="B1698" s="22" t="s">
        <v>968</v>
      </c>
      <c r="C1698" s="28">
        <f>IF(B1698&lt;&gt;"",VLOOKUP(B1698,Projetos!E:F,2,0),"")</f>
        <v>57</v>
      </c>
      <c r="D1698" s="22"/>
      <c r="E1698" s="22" t="s">
        <v>23</v>
      </c>
      <c r="F1698" s="71" t="s">
        <v>995</v>
      </c>
      <c r="G1698" s="41" t="s">
        <v>528</v>
      </c>
      <c r="H1698" s="61">
        <v>45594</v>
      </c>
      <c r="I1698" s="59">
        <v>0.20833333333333334</v>
      </c>
      <c r="J1698" s="117" t="s">
        <v>14</v>
      </c>
      <c r="K1698" s="22"/>
    </row>
    <row r="1699" spans="2:11">
      <c r="B1699" s="22" t="s">
        <v>968</v>
      </c>
      <c r="C1699" s="28">
        <f>IF(B1699&lt;&gt;"",VLOOKUP(B1699,Projetos!E:F,2,0),"")</f>
        <v>57</v>
      </c>
      <c r="D1699" s="22"/>
      <c r="E1699" s="22" t="s">
        <v>23</v>
      </c>
      <c r="F1699" s="71" t="s">
        <v>995</v>
      </c>
      <c r="G1699" s="41" t="s">
        <v>528</v>
      </c>
      <c r="H1699" s="61">
        <v>45593</v>
      </c>
      <c r="I1699" s="59">
        <v>4.1666666666666664E-2</v>
      </c>
      <c r="J1699" s="117" t="s">
        <v>14</v>
      </c>
      <c r="K1699" s="22"/>
    </row>
    <row r="1700" spans="2:11">
      <c r="B1700" s="22" t="s">
        <v>140</v>
      </c>
      <c r="C1700" s="28">
        <f>IF(B1700&lt;&gt;"",VLOOKUP(B1700,Projetos!E:F,2,0),"")</f>
        <v>39</v>
      </c>
      <c r="D1700" s="22"/>
      <c r="E1700" s="22" t="s">
        <v>40</v>
      </c>
      <c r="F1700" s="71" t="s">
        <v>998</v>
      </c>
      <c r="G1700" s="41" t="s">
        <v>528</v>
      </c>
      <c r="H1700" s="61">
        <v>45593</v>
      </c>
      <c r="I1700" s="59">
        <v>0.16666666666666666</v>
      </c>
      <c r="J1700" s="117" t="s">
        <v>14</v>
      </c>
      <c r="K1700" s="22"/>
    </row>
    <row r="1701" spans="2:11">
      <c r="B1701" s="22" t="s">
        <v>968</v>
      </c>
      <c r="C1701" s="28">
        <f>IF(B1701&lt;&gt;"",VLOOKUP(B1701,Projetos!E:F,2,0),"")</f>
        <v>57</v>
      </c>
      <c r="D1701" s="22"/>
      <c r="E1701" s="22" t="s">
        <v>23</v>
      </c>
      <c r="F1701" s="71" t="s">
        <v>985</v>
      </c>
      <c r="G1701" s="41" t="s">
        <v>525</v>
      </c>
      <c r="H1701" s="61">
        <v>45595</v>
      </c>
      <c r="I1701" s="59">
        <v>0.16666666666666666</v>
      </c>
      <c r="J1701" s="117" t="s">
        <v>14</v>
      </c>
      <c r="K1701" s="22"/>
    </row>
    <row r="1702" spans="2:11">
      <c r="B1702" s="22" t="s">
        <v>968</v>
      </c>
      <c r="C1702" s="28">
        <f>IF(B1702&lt;&gt;"",VLOOKUP(B1702,Projetos!E:F,2,0),"")</f>
        <v>57</v>
      </c>
      <c r="D1702" s="22"/>
      <c r="E1702" s="22" t="s">
        <v>23</v>
      </c>
      <c r="F1702" s="71" t="s">
        <v>974</v>
      </c>
      <c r="G1702" s="41" t="s">
        <v>525</v>
      </c>
      <c r="H1702" s="61">
        <v>45595</v>
      </c>
      <c r="I1702" s="59">
        <v>8.3333333333333329E-2</v>
      </c>
      <c r="J1702" s="117" t="s">
        <v>14</v>
      </c>
      <c r="K1702" s="22"/>
    </row>
    <row r="1703" spans="2:11">
      <c r="B1703" s="22" t="s">
        <v>968</v>
      </c>
      <c r="C1703" s="28">
        <f>IF(B1703&lt;&gt;"",VLOOKUP(B1703,Projetos!E:F,2,0),"")</f>
        <v>57</v>
      </c>
      <c r="D1703" s="22"/>
      <c r="E1703" s="22" t="s">
        <v>23</v>
      </c>
      <c r="F1703" s="71" t="s">
        <v>974</v>
      </c>
      <c r="G1703" s="41" t="s">
        <v>528</v>
      </c>
      <c r="H1703" s="61">
        <v>45595</v>
      </c>
      <c r="I1703" s="59">
        <v>0.20833333333333334</v>
      </c>
      <c r="J1703" s="117" t="s">
        <v>14</v>
      </c>
      <c r="K1703" s="22"/>
    </row>
    <row r="1704" spans="2:11">
      <c r="B1704" s="26" t="s">
        <v>192</v>
      </c>
      <c r="C1704" s="60">
        <f>IF(B1704&lt;&gt;"",VLOOKUP(B1704,Projetos!E:F,2,0),"")</f>
        <v>32</v>
      </c>
      <c r="D1704" s="22"/>
      <c r="E1704" s="26" t="s">
        <v>193</v>
      </c>
      <c r="F1704" s="82" t="s">
        <v>921</v>
      </c>
      <c r="G1704" s="124" t="s">
        <v>34</v>
      </c>
      <c r="H1704" s="122">
        <v>45594</v>
      </c>
      <c r="I1704" s="118">
        <v>0.25</v>
      </c>
      <c r="J1704" s="128" t="s">
        <v>14</v>
      </c>
      <c r="K1704" s="22"/>
    </row>
    <row r="1705" spans="2:11" ht="30">
      <c r="B1705" s="22" t="s">
        <v>156</v>
      </c>
      <c r="C1705" s="35">
        <v>3</v>
      </c>
      <c r="D1705" s="81" t="s">
        <v>21</v>
      </c>
      <c r="E1705" s="22" t="s">
        <v>21</v>
      </c>
      <c r="F1705" s="71" t="s">
        <v>638</v>
      </c>
      <c r="G1705" s="35" t="s">
        <v>174</v>
      </c>
      <c r="H1705" s="42">
        <v>45534</v>
      </c>
      <c r="I1705" s="104">
        <v>0.33333333333333331</v>
      </c>
      <c r="J1705" s="35" t="s">
        <v>14</v>
      </c>
      <c r="K1705" s="54"/>
    </row>
    <row r="1706" spans="2:11" ht="30">
      <c r="B1706" s="22" t="s">
        <v>156</v>
      </c>
      <c r="C1706" s="35">
        <v>3</v>
      </c>
      <c r="D1706" s="81" t="s">
        <v>21</v>
      </c>
      <c r="E1706" s="22" t="s">
        <v>21</v>
      </c>
      <c r="F1706" s="71" t="s">
        <v>638</v>
      </c>
      <c r="G1706" s="35" t="s">
        <v>174</v>
      </c>
      <c r="H1706" s="42">
        <v>45534</v>
      </c>
      <c r="I1706" s="104">
        <v>0.33333333333333331</v>
      </c>
      <c r="J1706" s="35" t="s">
        <v>14</v>
      </c>
      <c r="K1706" s="54"/>
    </row>
    <row r="1707" spans="2:11" ht="30">
      <c r="B1707" s="22" t="s">
        <v>156</v>
      </c>
      <c r="C1707" s="35">
        <v>3</v>
      </c>
      <c r="D1707" s="81" t="s">
        <v>21</v>
      </c>
      <c r="E1707" s="22" t="s">
        <v>21</v>
      </c>
      <c r="F1707" s="71" t="s">
        <v>638</v>
      </c>
      <c r="G1707" s="35" t="s">
        <v>174</v>
      </c>
      <c r="H1707" s="42">
        <v>45534</v>
      </c>
      <c r="I1707" s="104">
        <v>0.33333333333333331</v>
      </c>
      <c r="J1707" s="35" t="s">
        <v>14</v>
      </c>
      <c r="K1707" s="54"/>
    </row>
    <row r="1708" spans="2:11" ht="30">
      <c r="B1708" s="22" t="s">
        <v>156</v>
      </c>
      <c r="C1708" s="35">
        <v>3</v>
      </c>
      <c r="D1708" s="81" t="s">
        <v>21</v>
      </c>
      <c r="E1708" s="22" t="s">
        <v>21</v>
      </c>
      <c r="F1708" s="71" t="s">
        <v>638</v>
      </c>
      <c r="G1708" s="35" t="s">
        <v>174</v>
      </c>
      <c r="H1708" s="42">
        <v>45534</v>
      </c>
      <c r="I1708" s="104">
        <v>0.33333333333333331</v>
      </c>
      <c r="J1708" s="35" t="s">
        <v>14</v>
      </c>
      <c r="K1708" s="54"/>
    </row>
    <row r="1709" spans="2:11">
      <c r="B1709" s="22" t="s">
        <v>156</v>
      </c>
      <c r="C1709" s="35">
        <v>3</v>
      </c>
      <c r="E1709" s="22" t="s">
        <v>21</v>
      </c>
      <c r="F1709" s="71" t="s">
        <v>999</v>
      </c>
      <c r="G1709" s="35" t="s">
        <v>174</v>
      </c>
      <c r="H1709" s="42">
        <v>45537</v>
      </c>
      <c r="I1709" s="43">
        <v>0.16666666666666666</v>
      </c>
      <c r="J1709" s="35" t="s">
        <v>14</v>
      </c>
      <c r="K1709" s="54"/>
    </row>
    <row r="1710" spans="2:11">
      <c r="B1710" s="22" t="s">
        <v>156</v>
      </c>
      <c r="C1710" s="35">
        <v>3</v>
      </c>
      <c r="E1710" s="22" t="s">
        <v>21</v>
      </c>
      <c r="F1710" s="71" t="s">
        <v>999</v>
      </c>
      <c r="G1710" s="35" t="s">
        <v>174</v>
      </c>
      <c r="H1710" s="42">
        <v>45538</v>
      </c>
      <c r="I1710" s="43">
        <v>0.16666666666666666</v>
      </c>
      <c r="J1710" s="35" t="s">
        <v>14</v>
      </c>
      <c r="K1710" s="54"/>
    </row>
    <row r="1711" spans="2:11">
      <c r="B1711" s="22" t="s">
        <v>156</v>
      </c>
      <c r="C1711" s="35">
        <v>3</v>
      </c>
      <c r="E1711" s="22" t="s">
        <v>21</v>
      </c>
      <c r="F1711" s="71" t="s">
        <v>999</v>
      </c>
      <c r="G1711" s="35" t="s">
        <v>174</v>
      </c>
      <c r="H1711" s="42">
        <v>45539</v>
      </c>
      <c r="I1711" s="43">
        <v>0.16666666666666666</v>
      </c>
      <c r="J1711" s="35" t="s">
        <v>14</v>
      </c>
      <c r="K1711" s="54"/>
    </row>
    <row r="1712" spans="2:11">
      <c r="B1712" s="22" t="s">
        <v>156</v>
      </c>
      <c r="C1712" s="35">
        <v>3</v>
      </c>
      <c r="E1712" s="22" t="s">
        <v>21</v>
      </c>
      <c r="F1712" s="71" t="s">
        <v>999</v>
      </c>
      <c r="G1712" s="35" t="s">
        <v>174</v>
      </c>
      <c r="H1712" s="42">
        <v>45544</v>
      </c>
      <c r="I1712" s="43">
        <v>0.16666666666666666</v>
      </c>
      <c r="J1712" s="35" t="s">
        <v>14</v>
      </c>
      <c r="K1712" s="54"/>
    </row>
    <row r="1713" spans="2:11">
      <c r="B1713" s="22" t="s">
        <v>156</v>
      </c>
      <c r="C1713" s="35">
        <v>3</v>
      </c>
      <c r="E1713" s="22" t="s">
        <v>21</v>
      </c>
      <c r="F1713" s="71" t="s">
        <v>999</v>
      </c>
      <c r="G1713" s="35" t="s">
        <v>174</v>
      </c>
      <c r="H1713" s="42">
        <v>45545</v>
      </c>
      <c r="I1713" s="43">
        <v>0.16666666666666666</v>
      </c>
      <c r="J1713" s="35" t="s">
        <v>14</v>
      </c>
      <c r="K1713" s="54"/>
    </row>
    <row r="1714" spans="2:11">
      <c r="B1714" s="22" t="s">
        <v>156</v>
      </c>
      <c r="C1714" s="35">
        <v>3</v>
      </c>
      <c r="E1714" s="22" t="s">
        <v>21</v>
      </c>
      <c r="F1714" s="71" t="s">
        <v>999</v>
      </c>
      <c r="G1714" s="35" t="s">
        <v>174</v>
      </c>
      <c r="H1714" s="42">
        <v>45546</v>
      </c>
      <c r="I1714" s="43">
        <v>0.16666666666666666</v>
      </c>
      <c r="J1714" s="35" t="s">
        <v>14</v>
      </c>
      <c r="K1714" s="54"/>
    </row>
    <row r="1715" spans="2:11">
      <c r="B1715" s="22" t="s">
        <v>156</v>
      </c>
      <c r="C1715" s="35">
        <v>3</v>
      </c>
      <c r="E1715" s="22" t="s">
        <v>21</v>
      </c>
      <c r="F1715" s="71" t="s">
        <v>999</v>
      </c>
      <c r="G1715" s="35" t="s">
        <v>174</v>
      </c>
      <c r="H1715" s="42">
        <v>45547</v>
      </c>
      <c r="I1715" s="43">
        <v>0.16666666666666666</v>
      </c>
      <c r="J1715" s="35" t="s">
        <v>14</v>
      </c>
      <c r="K1715" s="54"/>
    </row>
    <row r="1716" spans="2:11">
      <c r="B1716" s="22" t="s">
        <v>156</v>
      </c>
      <c r="C1716" s="35">
        <v>3</v>
      </c>
      <c r="E1716" s="22" t="s">
        <v>21</v>
      </c>
      <c r="F1716" s="71" t="s">
        <v>999</v>
      </c>
      <c r="G1716" s="35" t="s">
        <v>174</v>
      </c>
      <c r="H1716" s="42">
        <v>45548</v>
      </c>
      <c r="I1716" s="43">
        <v>0.16666666666666666</v>
      </c>
      <c r="J1716" s="35" t="s">
        <v>14</v>
      </c>
      <c r="K1716" s="54"/>
    </row>
    <row r="1717" spans="2:11">
      <c r="B1717" s="22" t="s">
        <v>156</v>
      </c>
      <c r="C1717" s="35">
        <v>3</v>
      </c>
      <c r="E1717" s="22" t="s">
        <v>21</v>
      </c>
      <c r="F1717" s="71" t="s">
        <v>999</v>
      </c>
      <c r="G1717" s="35" t="s">
        <v>174</v>
      </c>
      <c r="H1717" s="42">
        <v>45551</v>
      </c>
      <c r="I1717" s="43">
        <v>0.16666666666666666</v>
      </c>
      <c r="J1717" s="35" t="s">
        <v>14</v>
      </c>
      <c r="K1717" s="54"/>
    </row>
    <row r="1718" spans="2:11">
      <c r="B1718" s="22" t="s">
        <v>156</v>
      </c>
      <c r="C1718" s="35">
        <v>3</v>
      </c>
      <c r="E1718" s="22" t="s">
        <v>21</v>
      </c>
      <c r="F1718" s="71" t="s">
        <v>999</v>
      </c>
      <c r="G1718" s="35" t="s">
        <v>174</v>
      </c>
      <c r="H1718" s="42">
        <v>45552</v>
      </c>
      <c r="I1718" s="43">
        <v>0.16666666666666666</v>
      </c>
      <c r="J1718" s="35" t="s">
        <v>14</v>
      </c>
      <c r="K1718" s="54"/>
    </row>
    <row r="1719" spans="2:11">
      <c r="B1719" s="22" t="s">
        <v>156</v>
      </c>
      <c r="C1719" s="35">
        <v>3</v>
      </c>
      <c r="E1719" s="22" t="s">
        <v>21</v>
      </c>
      <c r="F1719" s="71" t="s">
        <v>999</v>
      </c>
      <c r="G1719" s="35" t="s">
        <v>174</v>
      </c>
      <c r="H1719" s="42">
        <v>45553</v>
      </c>
      <c r="I1719" s="43">
        <v>0.16666666666666666</v>
      </c>
      <c r="J1719" s="35" t="s">
        <v>14</v>
      </c>
      <c r="K1719" s="54"/>
    </row>
    <row r="1720" spans="2:11">
      <c r="B1720" s="22" t="s">
        <v>156</v>
      </c>
      <c r="C1720" s="35">
        <v>3</v>
      </c>
      <c r="E1720" s="22" t="s">
        <v>21</v>
      </c>
      <c r="F1720" s="71" t="s">
        <v>999</v>
      </c>
      <c r="G1720" s="35" t="s">
        <v>174</v>
      </c>
      <c r="H1720" s="42">
        <v>45554</v>
      </c>
      <c r="I1720" s="43">
        <v>0.16666666666666666</v>
      </c>
      <c r="J1720" s="35" t="s">
        <v>14</v>
      </c>
      <c r="K1720" s="54"/>
    </row>
    <row r="1721" spans="2:11">
      <c r="B1721" s="22" t="s">
        <v>156</v>
      </c>
      <c r="C1721" s="35">
        <v>3</v>
      </c>
      <c r="E1721" s="22" t="s">
        <v>21</v>
      </c>
      <c r="F1721" s="71" t="s">
        <v>999</v>
      </c>
      <c r="G1721" s="35" t="s">
        <v>174</v>
      </c>
      <c r="H1721" s="42">
        <v>45555</v>
      </c>
      <c r="I1721" s="43">
        <v>0.16666666666666666</v>
      </c>
      <c r="J1721" s="35" t="s">
        <v>14</v>
      </c>
      <c r="K1721" s="54"/>
    </row>
    <row r="1722" spans="2:11">
      <c r="B1722" s="22" t="s">
        <v>156</v>
      </c>
      <c r="C1722" s="35">
        <v>3</v>
      </c>
      <c r="E1722" s="22" t="s">
        <v>21</v>
      </c>
      <c r="F1722" s="71" t="s">
        <v>999</v>
      </c>
      <c r="G1722" s="35" t="s">
        <v>174</v>
      </c>
      <c r="H1722" s="42">
        <v>45558</v>
      </c>
      <c r="I1722" s="43">
        <v>0.16666666666666666</v>
      </c>
      <c r="J1722" s="35" t="s">
        <v>14</v>
      </c>
      <c r="K1722" s="54"/>
    </row>
    <row r="1723" spans="2:11">
      <c r="B1723" s="22" t="s">
        <v>156</v>
      </c>
      <c r="C1723" s="35">
        <v>3</v>
      </c>
      <c r="E1723" s="22" t="s">
        <v>21</v>
      </c>
      <c r="F1723" s="71" t="s">
        <v>999</v>
      </c>
      <c r="G1723" s="35" t="s">
        <v>174</v>
      </c>
      <c r="H1723" s="42">
        <v>45559</v>
      </c>
      <c r="I1723" s="43">
        <v>0.16666666666666666</v>
      </c>
      <c r="J1723" s="35" t="s">
        <v>14</v>
      </c>
      <c r="K1723" s="54"/>
    </row>
    <row r="1724" spans="2:11">
      <c r="B1724" s="22" t="s">
        <v>156</v>
      </c>
      <c r="C1724" s="35">
        <v>3</v>
      </c>
      <c r="E1724" s="22" t="s">
        <v>21</v>
      </c>
      <c r="F1724" s="71" t="s">
        <v>999</v>
      </c>
      <c r="G1724" s="35" t="s">
        <v>174</v>
      </c>
      <c r="H1724" s="42">
        <v>45560</v>
      </c>
      <c r="I1724" s="43">
        <v>0.16666666666666666</v>
      </c>
      <c r="J1724" s="35" t="s">
        <v>14</v>
      </c>
      <c r="K1724" s="54"/>
    </row>
    <row r="1725" spans="2:11">
      <c r="B1725" s="22" t="s">
        <v>156</v>
      </c>
      <c r="C1725" s="35">
        <v>3</v>
      </c>
      <c r="E1725" s="22" t="s">
        <v>21</v>
      </c>
      <c r="F1725" s="71" t="s">
        <v>999</v>
      </c>
      <c r="G1725" s="35" t="s">
        <v>174</v>
      </c>
      <c r="H1725" s="42">
        <v>45561</v>
      </c>
      <c r="I1725" s="43">
        <v>0.16666666666666666</v>
      </c>
      <c r="J1725" s="35" t="s">
        <v>14</v>
      </c>
      <c r="K1725" s="54"/>
    </row>
    <row r="1726" spans="2:11">
      <c r="B1726" s="22" t="s">
        <v>156</v>
      </c>
      <c r="C1726" s="35">
        <v>3</v>
      </c>
      <c r="E1726" s="22" t="s">
        <v>21</v>
      </c>
      <c r="F1726" s="71" t="s">
        <v>999</v>
      </c>
      <c r="G1726" s="35" t="s">
        <v>174</v>
      </c>
      <c r="H1726" s="42">
        <v>45562</v>
      </c>
      <c r="I1726" s="43">
        <v>0.16666666666666666</v>
      </c>
      <c r="J1726" s="35" t="s">
        <v>14</v>
      </c>
      <c r="K1726" s="54"/>
    </row>
    <row r="1727" spans="2:11">
      <c r="B1727" s="22" t="s">
        <v>156</v>
      </c>
      <c r="C1727" s="35">
        <v>3</v>
      </c>
      <c r="E1727" s="22" t="s">
        <v>21</v>
      </c>
      <c r="F1727" s="71" t="s">
        <v>999</v>
      </c>
      <c r="G1727" s="35" t="s">
        <v>174</v>
      </c>
      <c r="H1727" s="42">
        <v>45565</v>
      </c>
      <c r="I1727" s="43">
        <v>0.16666666666666666</v>
      </c>
      <c r="J1727" s="35" t="s">
        <v>14</v>
      </c>
      <c r="K1727" s="54"/>
    </row>
    <row r="1728" spans="2:11">
      <c r="B1728" s="22" t="s">
        <v>140</v>
      </c>
      <c r="C1728" s="35">
        <v>39</v>
      </c>
      <c r="E1728" s="22" t="s">
        <v>21</v>
      </c>
      <c r="F1728" s="71" t="s">
        <v>1000</v>
      </c>
      <c r="G1728" s="35" t="s">
        <v>174</v>
      </c>
      <c r="H1728" s="42">
        <v>45537</v>
      </c>
      <c r="I1728" s="43">
        <v>0.16666666666666666</v>
      </c>
      <c r="J1728" s="35" t="s">
        <v>14</v>
      </c>
      <c r="K1728" s="54"/>
    </row>
    <row r="1729" spans="2:11">
      <c r="B1729" s="22" t="s">
        <v>140</v>
      </c>
      <c r="C1729" s="35">
        <v>39</v>
      </c>
      <c r="E1729" s="22" t="s">
        <v>21</v>
      </c>
      <c r="F1729" s="71" t="s">
        <v>1000</v>
      </c>
      <c r="G1729" s="35" t="s">
        <v>174</v>
      </c>
      <c r="H1729" s="42">
        <v>45538</v>
      </c>
      <c r="I1729" s="43">
        <v>0.16666666666666666</v>
      </c>
      <c r="J1729" s="35" t="s">
        <v>14</v>
      </c>
      <c r="K1729" s="54"/>
    </row>
    <row r="1730" spans="2:11">
      <c r="B1730" s="22" t="s">
        <v>140</v>
      </c>
      <c r="C1730" s="35">
        <v>39</v>
      </c>
      <c r="E1730" s="22" t="s">
        <v>21</v>
      </c>
      <c r="F1730" s="71" t="s">
        <v>1000</v>
      </c>
      <c r="G1730" s="35" t="s">
        <v>174</v>
      </c>
      <c r="H1730" s="42">
        <v>45539</v>
      </c>
      <c r="I1730" s="43">
        <v>0.16666666666666666</v>
      </c>
      <c r="J1730" s="35" t="s">
        <v>14</v>
      </c>
      <c r="K1730" s="54"/>
    </row>
    <row r="1731" spans="2:11">
      <c r="B1731" s="22" t="s">
        <v>140</v>
      </c>
      <c r="C1731" s="35">
        <v>39</v>
      </c>
      <c r="E1731" s="22" t="s">
        <v>21</v>
      </c>
      <c r="F1731" s="71" t="s">
        <v>1000</v>
      </c>
      <c r="G1731" s="35" t="s">
        <v>174</v>
      </c>
      <c r="H1731" s="42">
        <v>45544</v>
      </c>
      <c r="I1731" s="43">
        <v>0.16666666666666666</v>
      </c>
      <c r="J1731" s="35" t="s">
        <v>14</v>
      </c>
      <c r="K1731" s="54"/>
    </row>
    <row r="1732" spans="2:11">
      <c r="B1732" s="22" t="s">
        <v>140</v>
      </c>
      <c r="C1732" s="35">
        <v>39</v>
      </c>
      <c r="E1732" s="22" t="s">
        <v>21</v>
      </c>
      <c r="F1732" s="71" t="s">
        <v>1000</v>
      </c>
      <c r="G1732" s="35" t="s">
        <v>174</v>
      </c>
      <c r="H1732" s="42">
        <v>45545</v>
      </c>
      <c r="I1732" s="43">
        <v>0.16666666666666666</v>
      </c>
      <c r="J1732" s="35" t="s">
        <v>14</v>
      </c>
      <c r="K1732" s="54"/>
    </row>
    <row r="1733" spans="2:11">
      <c r="B1733" s="22" t="s">
        <v>140</v>
      </c>
      <c r="C1733" s="35">
        <v>39</v>
      </c>
      <c r="E1733" s="22" t="s">
        <v>21</v>
      </c>
      <c r="F1733" s="71" t="s">
        <v>1000</v>
      </c>
      <c r="G1733" s="35" t="s">
        <v>174</v>
      </c>
      <c r="H1733" s="42">
        <v>45546</v>
      </c>
      <c r="I1733" s="43">
        <v>0.16666666666666666</v>
      </c>
      <c r="J1733" s="35" t="s">
        <v>14</v>
      </c>
      <c r="K1733" s="54"/>
    </row>
    <row r="1734" spans="2:11">
      <c r="B1734" s="22" t="s">
        <v>140</v>
      </c>
      <c r="C1734" s="35">
        <v>39</v>
      </c>
      <c r="E1734" s="22" t="s">
        <v>21</v>
      </c>
      <c r="F1734" s="71" t="s">
        <v>1000</v>
      </c>
      <c r="G1734" s="35" t="s">
        <v>174</v>
      </c>
      <c r="H1734" s="42">
        <v>45547</v>
      </c>
      <c r="I1734" s="43">
        <v>0.16666666666666666</v>
      </c>
      <c r="J1734" s="35" t="s">
        <v>14</v>
      </c>
      <c r="K1734" s="54"/>
    </row>
    <row r="1735" spans="2:11">
      <c r="B1735" s="22" t="s">
        <v>140</v>
      </c>
      <c r="C1735" s="35">
        <v>39</v>
      </c>
      <c r="E1735" s="22" t="s">
        <v>21</v>
      </c>
      <c r="F1735" s="71" t="s">
        <v>1000</v>
      </c>
      <c r="G1735" s="35" t="s">
        <v>174</v>
      </c>
      <c r="H1735" s="42">
        <v>45548</v>
      </c>
      <c r="I1735" s="43">
        <v>0.33333333333333331</v>
      </c>
      <c r="J1735" s="35" t="s">
        <v>14</v>
      </c>
      <c r="K1735" s="54"/>
    </row>
    <row r="1736" spans="2:11">
      <c r="B1736" s="22" t="s">
        <v>140</v>
      </c>
      <c r="C1736" s="35">
        <v>39</v>
      </c>
      <c r="E1736" s="22" t="s">
        <v>21</v>
      </c>
      <c r="F1736" s="71" t="s">
        <v>1000</v>
      </c>
      <c r="G1736" s="35" t="s">
        <v>174</v>
      </c>
      <c r="H1736" s="42">
        <v>45551</v>
      </c>
      <c r="I1736" s="43">
        <v>0.16666666666666666</v>
      </c>
      <c r="J1736" s="35" t="s">
        <v>14</v>
      </c>
      <c r="K1736" s="54"/>
    </row>
    <row r="1737" spans="2:11">
      <c r="B1737" s="22" t="s">
        <v>140</v>
      </c>
      <c r="C1737" s="35">
        <v>39</v>
      </c>
      <c r="E1737" s="22" t="s">
        <v>21</v>
      </c>
      <c r="F1737" s="71" t="s">
        <v>1000</v>
      </c>
      <c r="G1737" s="35" t="s">
        <v>174</v>
      </c>
      <c r="H1737" s="42">
        <v>45552</v>
      </c>
      <c r="I1737" s="43">
        <v>0.33333333333333331</v>
      </c>
      <c r="J1737" s="35" t="s">
        <v>14</v>
      </c>
      <c r="K1737" s="54"/>
    </row>
    <row r="1738" spans="2:11">
      <c r="B1738" s="22" t="s">
        <v>140</v>
      </c>
      <c r="C1738" s="35">
        <v>39</v>
      </c>
      <c r="E1738" s="22" t="s">
        <v>21</v>
      </c>
      <c r="F1738" s="71" t="s">
        <v>1000</v>
      </c>
      <c r="G1738" s="35" t="s">
        <v>174</v>
      </c>
      <c r="H1738" s="42">
        <v>45553</v>
      </c>
      <c r="I1738" s="43">
        <v>0.16666666666666666</v>
      </c>
      <c r="J1738" s="35" t="s">
        <v>14</v>
      </c>
      <c r="K1738" s="54"/>
    </row>
    <row r="1739" spans="2:11">
      <c r="B1739" s="22" t="s">
        <v>140</v>
      </c>
      <c r="C1739" s="35">
        <v>39</v>
      </c>
      <c r="E1739" s="22" t="s">
        <v>21</v>
      </c>
      <c r="F1739" s="71" t="s">
        <v>1000</v>
      </c>
      <c r="G1739" s="35" t="s">
        <v>174</v>
      </c>
      <c r="H1739" s="42">
        <v>45554</v>
      </c>
      <c r="I1739" s="43">
        <v>0.16666666666666666</v>
      </c>
      <c r="J1739" s="35" t="s">
        <v>14</v>
      </c>
      <c r="K1739" s="54"/>
    </row>
    <row r="1740" spans="2:11">
      <c r="B1740" s="22" t="s">
        <v>140</v>
      </c>
      <c r="C1740" s="35">
        <v>39</v>
      </c>
      <c r="E1740" s="22" t="s">
        <v>21</v>
      </c>
      <c r="F1740" s="71" t="s">
        <v>1000</v>
      </c>
      <c r="G1740" s="35" t="s">
        <v>174</v>
      </c>
      <c r="H1740" s="42">
        <v>45555</v>
      </c>
      <c r="I1740" s="43">
        <v>0.16666666666666666</v>
      </c>
      <c r="J1740" s="35" t="s">
        <v>14</v>
      </c>
      <c r="K1740" s="54"/>
    </row>
    <row r="1741" spans="2:11">
      <c r="B1741" s="22" t="s">
        <v>140</v>
      </c>
      <c r="C1741" s="35">
        <v>39</v>
      </c>
      <c r="E1741" s="22" t="s">
        <v>21</v>
      </c>
      <c r="F1741" s="71" t="s">
        <v>1000</v>
      </c>
      <c r="G1741" s="35" t="s">
        <v>174</v>
      </c>
      <c r="H1741" s="42">
        <v>45565</v>
      </c>
      <c r="I1741" s="43">
        <v>0.16666666666666666</v>
      </c>
      <c r="J1741" s="35" t="s">
        <v>14</v>
      </c>
      <c r="K1741" s="54"/>
    </row>
    <row r="1742" spans="2:11">
      <c r="B1742" s="22" t="s">
        <v>968</v>
      </c>
      <c r="C1742" s="28">
        <f>IF(B1742&lt;&gt;"",VLOOKUP(B1742,Projetos!E:F,2,0),"")</f>
        <v>57</v>
      </c>
      <c r="E1742" s="22" t="s">
        <v>23</v>
      </c>
      <c r="F1742" s="71" t="s">
        <v>974</v>
      </c>
      <c r="G1742" s="41" t="s">
        <v>525</v>
      </c>
      <c r="H1742" s="42">
        <v>45596</v>
      </c>
      <c r="I1742" s="43">
        <v>0.16666666666666666</v>
      </c>
      <c r="J1742" s="35" t="s">
        <v>14</v>
      </c>
      <c r="K1742" s="54"/>
    </row>
    <row r="1743" spans="2:11">
      <c r="B1743" s="22" t="s">
        <v>968</v>
      </c>
      <c r="C1743" s="28">
        <f>IF(B1743&lt;&gt;"",VLOOKUP(B1743,Projetos!E:F,2,0),"")</f>
        <v>57</v>
      </c>
      <c r="E1743" s="22" t="s">
        <v>23</v>
      </c>
      <c r="F1743" s="71" t="s">
        <v>985</v>
      </c>
      <c r="G1743" s="41" t="s">
        <v>525</v>
      </c>
      <c r="H1743" s="42">
        <v>45596</v>
      </c>
      <c r="I1743" s="43">
        <v>8.3333333333333329E-2</v>
      </c>
      <c r="J1743" s="35" t="s">
        <v>14</v>
      </c>
      <c r="K1743" s="54"/>
    </row>
    <row r="1744" spans="2:11">
      <c r="B1744" s="22" t="s">
        <v>968</v>
      </c>
      <c r="C1744" s="28">
        <f>IF(B1744&lt;&gt;"",VLOOKUP(B1744,Projetos!E:F,2,0),"")</f>
        <v>57</v>
      </c>
      <c r="E1744" s="22" t="s">
        <v>23</v>
      </c>
      <c r="F1744" s="71" t="s">
        <v>985</v>
      </c>
      <c r="G1744" s="41" t="s">
        <v>528</v>
      </c>
      <c r="H1744" s="42">
        <v>45596</v>
      </c>
      <c r="I1744" s="43">
        <v>0.20833333333333334</v>
      </c>
      <c r="J1744" s="35" t="s">
        <v>14</v>
      </c>
      <c r="K1744" s="54"/>
    </row>
    <row r="1745" spans="2:11">
      <c r="B1745" s="22" t="s">
        <v>192</v>
      </c>
      <c r="C1745" s="28">
        <v>32</v>
      </c>
      <c r="E1745" s="22" t="s">
        <v>193</v>
      </c>
      <c r="F1745" s="71" t="s">
        <v>921</v>
      </c>
      <c r="G1745" s="41" t="s">
        <v>34</v>
      </c>
      <c r="H1745" s="42">
        <v>45595</v>
      </c>
      <c r="I1745" s="43">
        <v>0.25</v>
      </c>
      <c r="J1745" s="35" t="s">
        <v>14</v>
      </c>
      <c r="K1745" s="54"/>
    </row>
    <row r="1746" spans="2:11">
      <c r="B1746" s="22" t="s">
        <v>192</v>
      </c>
      <c r="C1746" s="28">
        <f>IF(B1746&lt;&gt;"",VLOOKUP(B1746,Projetos!E:F,2,0),"")</f>
        <v>32</v>
      </c>
      <c r="E1746" s="22" t="s">
        <v>193</v>
      </c>
      <c r="F1746" s="71" t="s">
        <v>921</v>
      </c>
      <c r="G1746" s="41" t="s">
        <v>34</v>
      </c>
      <c r="H1746" s="42">
        <v>45596</v>
      </c>
      <c r="I1746" s="43">
        <v>0.25</v>
      </c>
      <c r="J1746" s="35" t="s">
        <v>14</v>
      </c>
      <c r="K1746" s="54"/>
    </row>
    <row r="1747" spans="2:11">
      <c r="B1747" s="22" t="s">
        <v>968</v>
      </c>
      <c r="C1747" s="28">
        <f>IF(B1747&lt;&gt;"",VLOOKUP(B1747,Projetos!E:F,2,0),"")</f>
        <v>57</v>
      </c>
      <c r="E1747" s="22" t="s">
        <v>23</v>
      </c>
      <c r="F1747" s="71" t="s">
        <v>985</v>
      </c>
      <c r="G1747" s="41" t="s">
        <v>525</v>
      </c>
      <c r="H1747" s="42">
        <v>45597</v>
      </c>
      <c r="I1747" s="43">
        <v>0.25</v>
      </c>
      <c r="J1747" s="35" t="s">
        <v>14</v>
      </c>
      <c r="K1747" s="54"/>
    </row>
    <row r="1748" spans="2:11">
      <c r="B1748" s="22" t="s">
        <v>968</v>
      </c>
      <c r="C1748" s="28">
        <f>IF(B1748&lt;&gt;"",VLOOKUP(B1748,Projetos!E:F,2,0),"")</f>
        <v>57</v>
      </c>
      <c r="E1748" s="22" t="s">
        <v>23</v>
      </c>
      <c r="F1748" s="71" t="s">
        <v>985</v>
      </c>
      <c r="G1748" s="41" t="s">
        <v>528</v>
      </c>
      <c r="H1748" s="42">
        <v>45597</v>
      </c>
      <c r="I1748" s="43">
        <v>0.20833333333333334</v>
      </c>
      <c r="J1748" s="35" t="s">
        <v>14</v>
      </c>
      <c r="K1748" s="54"/>
    </row>
    <row r="1749" spans="2:11">
      <c r="B1749" s="22" t="s">
        <v>968</v>
      </c>
      <c r="C1749" s="28">
        <f>IF(B1749&lt;&gt;"",VLOOKUP(B1749,Projetos!E:F,2,0),"")</f>
        <v>57</v>
      </c>
      <c r="E1749" s="22" t="s">
        <v>23</v>
      </c>
      <c r="F1749" s="71" t="s">
        <v>985</v>
      </c>
      <c r="G1749" s="41" t="s">
        <v>525</v>
      </c>
      <c r="H1749" s="42">
        <v>45600</v>
      </c>
      <c r="I1749" s="43">
        <v>0.16666666666666666</v>
      </c>
      <c r="J1749" s="35" t="s">
        <v>14</v>
      </c>
      <c r="K1749" s="54"/>
    </row>
    <row r="1750" spans="2:11">
      <c r="B1750" s="22" t="s">
        <v>643</v>
      </c>
      <c r="C1750" s="28">
        <f>IF(B1750&lt;&gt;"",VLOOKUP(B1750,Projetos!E:F,2,0),"")</f>
        <v>52</v>
      </c>
      <c r="E1750" s="22" t="s">
        <v>247</v>
      </c>
      <c r="F1750" s="71" t="s">
        <v>1001</v>
      </c>
      <c r="G1750" s="41" t="s">
        <v>525</v>
      </c>
      <c r="H1750" s="42">
        <v>45600</v>
      </c>
      <c r="I1750" s="43">
        <v>8.3333333333333329E-2</v>
      </c>
      <c r="J1750" s="35" t="s">
        <v>14</v>
      </c>
      <c r="K1750" s="54"/>
    </row>
    <row r="1751" spans="2:11">
      <c r="B1751" s="22" t="s">
        <v>968</v>
      </c>
      <c r="C1751" s="28">
        <f>IF(B1751&lt;&gt;"",VLOOKUP(B1751,Projetos!E:F,2,0),"")</f>
        <v>57</v>
      </c>
      <c r="E1751" s="22" t="s">
        <v>23</v>
      </c>
      <c r="F1751" s="71" t="s">
        <v>985</v>
      </c>
      <c r="G1751" s="41" t="s">
        <v>528</v>
      </c>
      <c r="H1751" s="42">
        <v>45600</v>
      </c>
      <c r="I1751" s="43">
        <v>0.125</v>
      </c>
      <c r="J1751" s="35" t="s">
        <v>14</v>
      </c>
      <c r="K1751" s="54"/>
    </row>
    <row r="1752" spans="2:11">
      <c r="B1752" s="22" t="s">
        <v>643</v>
      </c>
      <c r="C1752" s="28">
        <f>IF(B1752&lt;&gt;"",VLOOKUP(B1752,Projetos!E:F,2,0),"")</f>
        <v>52</v>
      </c>
      <c r="E1752" s="22" t="s">
        <v>247</v>
      </c>
      <c r="F1752" s="71" t="s">
        <v>1001</v>
      </c>
      <c r="G1752" s="41" t="s">
        <v>528</v>
      </c>
      <c r="H1752" s="42">
        <v>45600</v>
      </c>
      <c r="I1752" s="43">
        <v>8.3333333333333329E-2</v>
      </c>
      <c r="J1752" s="35" t="s">
        <v>14</v>
      </c>
      <c r="K1752" s="54"/>
    </row>
    <row r="1753" spans="2:11">
      <c r="B1753" s="22" t="s">
        <v>643</v>
      </c>
      <c r="C1753" s="28">
        <f>IF(B1753&lt;&gt;"",VLOOKUP(B1753,Projetos!E:F,2,0),"")</f>
        <v>52</v>
      </c>
      <c r="E1753" s="22" t="s">
        <v>247</v>
      </c>
      <c r="F1753" s="71" t="s">
        <v>1001</v>
      </c>
      <c r="G1753" s="41" t="s">
        <v>525</v>
      </c>
      <c r="H1753" s="42">
        <v>45601</v>
      </c>
      <c r="I1753" s="43">
        <v>0.25</v>
      </c>
      <c r="J1753" s="35" t="s">
        <v>14</v>
      </c>
      <c r="K1753" s="54"/>
    </row>
    <row r="1754" spans="2:11">
      <c r="B1754" s="22" t="s">
        <v>643</v>
      </c>
      <c r="C1754" s="28">
        <f>IF(B1754&lt;&gt;"",VLOOKUP(B1754,Projetos!E:F,2,0),"")</f>
        <v>52</v>
      </c>
      <c r="E1754" s="22" t="s">
        <v>247</v>
      </c>
      <c r="F1754" s="71" t="s">
        <v>1001</v>
      </c>
      <c r="G1754" s="41" t="s">
        <v>528</v>
      </c>
      <c r="H1754" s="42">
        <v>45601</v>
      </c>
      <c r="I1754" s="43">
        <v>0.20833333333333334</v>
      </c>
      <c r="J1754" s="35" t="s">
        <v>14</v>
      </c>
      <c r="K1754" s="54"/>
    </row>
    <row r="1755" spans="2:11">
      <c r="B1755" s="22" t="s">
        <v>968</v>
      </c>
      <c r="C1755" s="28">
        <f>IF(B1755&lt;&gt;"",VLOOKUP(B1755,Projetos!E:F,2,0),"")</f>
        <v>57</v>
      </c>
      <c r="E1755" s="22" t="s">
        <v>23</v>
      </c>
      <c r="F1755" s="71" t="s">
        <v>985</v>
      </c>
      <c r="G1755" s="41" t="s">
        <v>64</v>
      </c>
      <c r="H1755" s="42">
        <v>45593</v>
      </c>
      <c r="I1755" s="43">
        <v>0.33333333333333331</v>
      </c>
      <c r="J1755" s="35" t="s">
        <v>14</v>
      </c>
      <c r="K1755" s="54"/>
    </row>
    <row r="1756" spans="2:11">
      <c r="B1756" s="22" t="s">
        <v>968</v>
      </c>
      <c r="C1756" s="28">
        <f>IF(B1756&lt;&gt;"",VLOOKUP(B1756,Projetos!E:F,2,0),"")</f>
        <v>57</v>
      </c>
      <c r="E1756" s="22" t="s">
        <v>23</v>
      </c>
      <c r="F1756" s="71" t="s">
        <v>985</v>
      </c>
      <c r="G1756" s="41" t="s">
        <v>64</v>
      </c>
      <c r="H1756" s="42">
        <v>45594</v>
      </c>
      <c r="I1756" s="43">
        <v>0.33333333333333331</v>
      </c>
      <c r="J1756" s="35" t="s">
        <v>14</v>
      </c>
      <c r="K1756" s="54"/>
    </row>
    <row r="1757" spans="2:11">
      <c r="B1757" s="22" t="s">
        <v>968</v>
      </c>
      <c r="C1757" s="28">
        <f>IF(B1757&lt;&gt;"",VLOOKUP(B1757,Projetos!E:F,2,0),"")</f>
        <v>57</v>
      </c>
      <c r="E1757" s="22" t="s">
        <v>23</v>
      </c>
      <c r="F1757" s="71" t="s">
        <v>985</v>
      </c>
      <c r="G1757" s="41" t="s">
        <v>64</v>
      </c>
      <c r="H1757" s="42">
        <v>45595</v>
      </c>
      <c r="I1757" s="43">
        <v>0.33333333333333331</v>
      </c>
      <c r="J1757" s="35" t="s">
        <v>14</v>
      </c>
      <c r="K1757" s="54"/>
    </row>
    <row r="1758" spans="2:11">
      <c r="B1758" s="22" t="s">
        <v>968</v>
      </c>
      <c r="C1758" s="28">
        <f>IF(B1758&lt;&gt;"",VLOOKUP(B1758,Projetos!E:F,2,0),"")</f>
        <v>57</v>
      </c>
      <c r="E1758" s="22" t="s">
        <v>23</v>
      </c>
      <c r="F1758" s="71" t="s">
        <v>985</v>
      </c>
      <c r="G1758" s="41" t="s">
        <v>64</v>
      </c>
      <c r="H1758" s="42">
        <v>45596</v>
      </c>
      <c r="I1758" s="43">
        <v>0.33333333333333331</v>
      </c>
      <c r="J1758" s="35" t="s">
        <v>14</v>
      </c>
      <c r="K1758" s="54"/>
    </row>
    <row r="1759" spans="2:11">
      <c r="B1759" s="22" t="s">
        <v>968</v>
      </c>
      <c r="C1759" s="28">
        <f>IF(B1759&lt;&gt;"",VLOOKUP(B1759,Projetos!E:F,2,0),"")</f>
        <v>57</v>
      </c>
      <c r="E1759" s="22" t="s">
        <v>23</v>
      </c>
      <c r="F1759" s="71" t="s">
        <v>985</v>
      </c>
      <c r="G1759" s="41" t="s">
        <v>64</v>
      </c>
      <c r="H1759" s="42">
        <v>45597</v>
      </c>
      <c r="I1759" s="43">
        <v>0.16666666666666666</v>
      </c>
      <c r="J1759" s="35" t="s">
        <v>14</v>
      </c>
      <c r="K1759" s="54"/>
    </row>
    <row r="1760" spans="2:11">
      <c r="B1760" s="22" t="s">
        <v>968</v>
      </c>
      <c r="C1760" s="28">
        <f>IF(B1760&lt;&gt;"",VLOOKUP(B1760,Projetos!E:F,2,0),"")</f>
        <v>57</v>
      </c>
      <c r="D1760" s="22"/>
      <c r="E1760" s="22" t="s">
        <v>23</v>
      </c>
      <c r="F1760" s="71" t="s">
        <v>995</v>
      </c>
      <c r="G1760" s="41" t="s">
        <v>66</v>
      </c>
      <c r="H1760" s="61">
        <v>45595</v>
      </c>
      <c r="I1760" s="43">
        <v>0.25</v>
      </c>
      <c r="J1760" s="117" t="s">
        <v>14</v>
      </c>
      <c r="K1760" s="22"/>
    </row>
    <row r="1761" spans="2:11">
      <c r="B1761" s="22" t="s">
        <v>968</v>
      </c>
      <c r="C1761" s="28">
        <f>IF(B1761&lt;&gt;"",VLOOKUP(B1761,Projetos!E:F,2,0),"")</f>
        <v>57</v>
      </c>
      <c r="D1761" s="22"/>
      <c r="E1761" s="22" t="s">
        <v>23</v>
      </c>
      <c r="F1761" s="71" t="s">
        <v>995</v>
      </c>
      <c r="G1761" s="41" t="s">
        <v>66</v>
      </c>
      <c r="H1761" s="61">
        <v>45596</v>
      </c>
      <c r="I1761" s="43">
        <v>0.25</v>
      </c>
      <c r="J1761" s="117" t="s">
        <v>14</v>
      </c>
      <c r="K1761" s="54"/>
    </row>
    <row r="1762" spans="2:11">
      <c r="B1762" s="22" t="s">
        <v>968</v>
      </c>
      <c r="C1762" s="28">
        <f>IF(B1762&lt;&gt;"",VLOOKUP(B1762,Projetos!E:F,2,0),"")</f>
        <v>57</v>
      </c>
      <c r="D1762" s="22"/>
      <c r="E1762" s="22" t="s">
        <v>23</v>
      </c>
      <c r="F1762" s="71" t="s">
        <v>995</v>
      </c>
      <c r="G1762" s="41" t="s">
        <v>66</v>
      </c>
      <c r="H1762" s="61">
        <v>45597</v>
      </c>
      <c r="I1762" s="43">
        <v>0.125</v>
      </c>
      <c r="J1762" s="117" t="s">
        <v>14</v>
      </c>
      <c r="K1762" s="54"/>
    </row>
    <row r="1763" spans="2:11">
      <c r="B1763" s="22" t="s">
        <v>136</v>
      </c>
      <c r="C1763" s="28">
        <f>IF(B1763&lt;&gt;"",VLOOKUP(B1763,Projetos!E:F,2,0),"")</f>
        <v>25</v>
      </c>
      <c r="E1763" s="22" t="s">
        <v>49</v>
      </c>
      <c r="F1763" s="71" t="s">
        <v>1002</v>
      </c>
      <c r="G1763" s="41" t="s">
        <v>66</v>
      </c>
      <c r="H1763" s="42">
        <v>45597</v>
      </c>
      <c r="I1763" s="43">
        <v>0.125</v>
      </c>
      <c r="J1763" s="35" t="s">
        <v>14</v>
      </c>
      <c r="K1763" s="54"/>
    </row>
    <row r="1764" spans="2:11">
      <c r="B1764" s="22" t="s">
        <v>136</v>
      </c>
      <c r="C1764" s="28">
        <f>IF(B1764&lt;&gt;"",VLOOKUP(B1764,Projetos!E:F,2,0),"")</f>
        <v>25</v>
      </c>
      <c r="E1764" s="22" t="s">
        <v>40</v>
      </c>
      <c r="F1764" s="71" t="s">
        <v>1002</v>
      </c>
      <c r="G1764" s="41" t="s">
        <v>64</v>
      </c>
      <c r="H1764" s="42">
        <v>45597</v>
      </c>
      <c r="I1764" s="43">
        <v>0.16666666666666666</v>
      </c>
      <c r="J1764" s="35" t="s">
        <v>14</v>
      </c>
      <c r="K1764" s="54"/>
    </row>
    <row r="1765" spans="2:11">
      <c r="B1765" s="22" t="s">
        <v>136</v>
      </c>
      <c r="C1765" s="28">
        <f>IF(B1765&lt;&gt;"",VLOOKUP(B1765,Projetos!E:F,2,0),"")</f>
        <v>25</v>
      </c>
      <c r="E1765" s="22" t="s">
        <v>49</v>
      </c>
      <c r="F1765" s="71" t="s">
        <v>1002</v>
      </c>
      <c r="G1765" s="41" t="s">
        <v>64</v>
      </c>
      <c r="H1765" s="42">
        <v>45600</v>
      </c>
      <c r="I1765" s="43">
        <v>0.33333333333333331</v>
      </c>
      <c r="J1765" s="35" t="s">
        <v>14</v>
      </c>
      <c r="K1765" s="54"/>
    </row>
    <row r="1766" spans="2:11">
      <c r="B1766" s="22" t="s">
        <v>136</v>
      </c>
      <c r="C1766" s="28">
        <f>IF(B1766&lt;&gt;"",VLOOKUP(B1766,Projetos!E:F,2,0),"")</f>
        <v>25</v>
      </c>
      <c r="E1766" s="22" t="s">
        <v>49</v>
      </c>
      <c r="F1766" s="71" t="s">
        <v>1002</v>
      </c>
      <c r="G1766" s="41" t="s">
        <v>66</v>
      </c>
      <c r="H1766" s="42">
        <v>45600</v>
      </c>
      <c r="I1766" s="43">
        <v>0.25</v>
      </c>
      <c r="J1766" s="35" t="s">
        <v>14</v>
      </c>
      <c r="K1766" s="54"/>
    </row>
    <row r="1767" spans="2:11">
      <c r="B1767" s="22" t="s">
        <v>136</v>
      </c>
      <c r="C1767" s="28">
        <f>IF(B1767&lt;&gt;"",VLOOKUP(B1767,Projetos!E:F,2,0),"")</f>
        <v>25</v>
      </c>
      <c r="E1767" s="22" t="s">
        <v>49</v>
      </c>
      <c r="F1767" s="71" t="s">
        <v>1002</v>
      </c>
      <c r="G1767" s="41" t="s">
        <v>64</v>
      </c>
      <c r="H1767" s="42">
        <v>45601</v>
      </c>
      <c r="I1767" s="43">
        <v>0.29166666666666669</v>
      </c>
      <c r="J1767" s="35" t="s">
        <v>14</v>
      </c>
      <c r="K1767" s="54"/>
    </row>
    <row r="1768" spans="2:11">
      <c r="B1768" s="22" t="s">
        <v>136</v>
      </c>
      <c r="C1768" s="28">
        <f>IF(B1768&lt;&gt;"",VLOOKUP(B1768,Projetos!E:F,2,0),"")</f>
        <v>25</v>
      </c>
      <c r="E1768" s="22" t="s">
        <v>40</v>
      </c>
      <c r="F1768" s="71" t="s">
        <v>1002</v>
      </c>
      <c r="G1768" s="41" t="s">
        <v>66</v>
      </c>
      <c r="H1768" s="42">
        <v>45601</v>
      </c>
      <c r="I1768" s="43">
        <v>0.25</v>
      </c>
      <c r="J1768" s="35" t="s">
        <v>14</v>
      </c>
      <c r="K1768" s="54"/>
    </row>
    <row r="1769" spans="2:11">
      <c r="B1769" s="22" t="s">
        <v>488</v>
      </c>
      <c r="C1769" s="28">
        <f>IF(B1769&lt;&gt;"",VLOOKUP(B1769,Projetos!E:F,2,0),"")</f>
        <v>50</v>
      </c>
      <c r="E1769" s="22" t="s">
        <v>23</v>
      </c>
      <c r="F1769" s="71" t="s">
        <v>1003</v>
      </c>
      <c r="G1769" s="41" t="s">
        <v>64</v>
      </c>
      <c r="H1769" s="42">
        <v>45601</v>
      </c>
      <c r="I1769" s="43">
        <v>4.1666666666666664E-2</v>
      </c>
      <c r="J1769" s="35" t="s">
        <v>14</v>
      </c>
      <c r="K1769" s="54"/>
    </row>
    <row r="1770" spans="2:11">
      <c r="B1770" s="22" t="s">
        <v>488</v>
      </c>
      <c r="C1770" s="28">
        <f>IF(B1770&lt;&gt;"",VLOOKUP(B1770,Projetos!E:F,2,0),"")</f>
        <v>50</v>
      </c>
      <c r="E1770" s="22" t="s">
        <v>23</v>
      </c>
      <c r="F1770" s="71" t="s">
        <v>1004</v>
      </c>
      <c r="G1770" s="41" t="s">
        <v>64</v>
      </c>
      <c r="H1770" s="42">
        <v>45602</v>
      </c>
      <c r="I1770" s="43">
        <v>8.3333333333333329E-2</v>
      </c>
      <c r="J1770" s="35" t="s">
        <v>14</v>
      </c>
      <c r="K1770" s="54"/>
    </row>
    <row r="1771" spans="2:11">
      <c r="B1771" s="22" t="s">
        <v>968</v>
      </c>
      <c r="C1771" s="28">
        <f>IF(B1771&lt;&gt;"",VLOOKUP(B1771,Projetos!E:F,2,0),"")</f>
        <v>57</v>
      </c>
      <c r="E1771" s="22" t="s">
        <v>23</v>
      </c>
      <c r="F1771" s="71" t="s">
        <v>1005</v>
      </c>
      <c r="G1771" s="41" t="s">
        <v>64</v>
      </c>
      <c r="H1771" s="42">
        <v>45602</v>
      </c>
      <c r="I1771" s="43">
        <v>0.25</v>
      </c>
      <c r="J1771" s="35" t="s">
        <v>14</v>
      </c>
      <c r="K1771" s="54"/>
    </row>
    <row r="1772" spans="2:11">
      <c r="B1772" s="22" t="s">
        <v>643</v>
      </c>
      <c r="C1772" s="28">
        <f>IF(B1772&lt;&gt;"",VLOOKUP(B1772,Projetos!E:F,2,0),"")</f>
        <v>52</v>
      </c>
      <c r="E1772" s="22" t="s">
        <v>158</v>
      </c>
      <c r="F1772" s="71" t="s">
        <v>1006</v>
      </c>
      <c r="G1772" s="41" t="s">
        <v>525</v>
      </c>
      <c r="H1772" s="42">
        <v>45602</v>
      </c>
      <c r="I1772" s="43">
        <v>0.20833333333333334</v>
      </c>
      <c r="J1772" s="35" t="s">
        <v>14</v>
      </c>
      <c r="K1772" s="54"/>
    </row>
    <row r="1773" spans="2:11">
      <c r="B1773" s="22" t="s">
        <v>968</v>
      </c>
      <c r="C1773" s="28">
        <f>IF(B1773&lt;&gt;"",VLOOKUP(B1773,Projetos!E:F,2,0),"")</f>
        <v>57</v>
      </c>
      <c r="E1773" s="22" t="s">
        <v>23</v>
      </c>
      <c r="F1773" s="71" t="s">
        <v>1005</v>
      </c>
      <c r="G1773" s="41" t="s">
        <v>66</v>
      </c>
      <c r="H1773" s="42">
        <v>45602</v>
      </c>
      <c r="I1773" s="43">
        <v>0.125</v>
      </c>
      <c r="J1773" s="35" t="s">
        <v>14</v>
      </c>
      <c r="K1773" s="54"/>
    </row>
    <row r="1774" spans="2:11">
      <c r="B1774" s="22" t="s">
        <v>488</v>
      </c>
      <c r="C1774" s="28">
        <f>IF(B1774&lt;&gt;"",VLOOKUP(B1774,Projetos!E:F,2,0),"")</f>
        <v>50</v>
      </c>
      <c r="E1774" s="22" t="s">
        <v>23</v>
      </c>
      <c r="F1774" s="71" t="s">
        <v>1004</v>
      </c>
      <c r="G1774" s="41" t="s">
        <v>66</v>
      </c>
      <c r="H1774" s="42">
        <v>45602</v>
      </c>
      <c r="I1774" s="43">
        <v>4.1666666666666664E-2</v>
      </c>
      <c r="J1774" s="35" t="s">
        <v>14</v>
      </c>
      <c r="K1774" s="54"/>
    </row>
    <row r="1775" spans="2:11">
      <c r="B1775" s="22" t="s">
        <v>192</v>
      </c>
      <c r="C1775" s="28">
        <f>IF(B1775&lt;&gt;"",VLOOKUP(B1775,Projetos!E:F,2,0),"")</f>
        <v>32</v>
      </c>
      <c r="E1775" s="22" t="s">
        <v>193</v>
      </c>
      <c r="F1775" s="71" t="s">
        <v>1007</v>
      </c>
      <c r="G1775" s="41" t="s">
        <v>66</v>
      </c>
      <c r="H1775" s="42">
        <v>45602</v>
      </c>
      <c r="I1775" s="43">
        <v>8.3333333333333329E-2</v>
      </c>
      <c r="J1775" s="35" t="s">
        <v>14</v>
      </c>
      <c r="K1775" s="54"/>
    </row>
    <row r="1776" spans="2:11">
      <c r="B1776" s="22" t="s">
        <v>643</v>
      </c>
      <c r="C1776" s="28">
        <f>IF(B1776&lt;&gt;"",VLOOKUP(B1776,Projetos!E:F,2,0),"")</f>
        <v>52</v>
      </c>
      <c r="E1776" s="22" t="s">
        <v>158</v>
      </c>
      <c r="F1776" s="71" t="s">
        <v>1008</v>
      </c>
      <c r="G1776" s="41" t="s">
        <v>525</v>
      </c>
      <c r="H1776" s="42">
        <v>45602</v>
      </c>
      <c r="I1776" s="43">
        <v>4.1666666666666664E-2</v>
      </c>
      <c r="J1776" s="35" t="s">
        <v>14</v>
      </c>
      <c r="K1776" s="54"/>
    </row>
    <row r="1777" spans="2:11">
      <c r="B1777" s="22" t="s">
        <v>968</v>
      </c>
      <c r="C1777" s="28">
        <f>IF(B1777&lt;&gt;"",VLOOKUP(B1777,Projetos!E:F,2,0),"")</f>
        <v>57</v>
      </c>
      <c r="E1777" s="22" t="s">
        <v>23</v>
      </c>
      <c r="F1777" s="71" t="s">
        <v>1005</v>
      </c>
      <c r="G1777" s="41" t="s">
        <v>528</v>
      </c>
      <c r="H1777" s="42">
        <v>45602</v>
      </c>
      <c r="I1777" s="43">
        <v>0.125</v>
      </c>
      <c r="J1777" s="35" t="s">
        <v>14</v>
      </c>
      <c r="K1777" s="54"/>
    </row>
    <row r="1778" spans="2:11">
      <c r="B1778" s="22" t="s">
        <v>192</v>
      </c>
      <c r="C1778" s="28">
        <f>IF(B1778&lt;&gt;"",VLOOKUP(B1778,Projetos!E:F,2,0),"")</f>
        <v>32</v>
      </c>
      <c r="E1778" s="22" t="s">
        <v>193</v>
      </c>
      <c r="F1778" s="71" t="s">
        <v>1009</v>
      </c>
      <c r="G1778" s="41" t="s">
        <v>528</v>
      </c>
      <c r="H1778" s="42">
        <v>45602</v>
      </c>
      <c r="I1778" s="43">
        <v>8.3333333333333329E-2</v>
      </c>
      <c r="J1778" s="35" t="s">
        <v>14</v>
      </c>
      <c r="K1778" s="54"/>
    </row>
    <row r="1779" spans="2:11">
      <c r="B1779" s="22" t="s">
        <v>192</v>
      </c>
      <c r="C1779" s="28">
        <f>IF(B1779&lt;&gt;"",VLOOKUP(B1779,Projetos!E:F,2,0),"")</f>
        <v>32</v>
      </c>
      <c r="E1779" s="22" t="s">
        <v>193</v>
      </c>
      <c r="F1779" s="71" t="s">
        <v>1009</v>
      </c>
      <c r="G1779" s="41" t="s">
        <v>528</v>
      </c>
      <c r="H1779" s="42">
        <v>45603</v>
      </c>
      <c r="I1779" s="43">
        <v>0.20833333333333334</v>
      </c>
      <c r="J1779" s="35" t="s">
        <v>14</v>
      </c>
      <c r="K1779" s="54"/>
    </row>
    <row r="1780" spans="2:11">
      <c r="B1780" s="22" t="s">
        <v>192</v>
      </c>
      <c r="C1780" s="28">
        <f>IF(B1780&lt;&gt;"",VLOOKUP(B1780,Projetos!E:F,2,0),"")</f>
        <v>32</v>
      </c>
      <c r="E1780" s="22" t="s">
        <v>193</v>
      </c>
      <c r="F1780" s="71" t="s">
        <v>1009</v>
      </c>
      <c r="G1780" s="41" t="s">
        <v>528</v>
      </c>
      <c r="H1780" s="42">
        <v>45604</v>
      </c>
      <c r="I1780" s="43">
        <v>0.125</v>
      </c>
      <c r="J1780" s="35" t="s">
        <v>14</v>
      </c>
      <c r="K1780" s="54"/>
    </row>
    <row r="1781" spans="2:11">
      <c r="B1781" s="22" t="s">
        <v>968</v>
      </c>
      <c r="C1781" s="28">
        <f>IF(B1781&lt;&gt;"",VLOOKUP(B1781,Projetos!E:F,2,0),"")</f>
        <v>57</v>
      </c>
      <c r="E1781" s="22" t="s">
        <v>23</v>
      </c>
      <c r="F1781" s="71" t="s">
        <v>985</v>
      </c>
      <c r="G1781" s="41" t="s">
        <v>528</v>
      </c>
      <c r="H1781" s="42">
        <v>45604</v>
      </c>
      <c r="I1781" s="43">
        <v>8.3333333333333329E-2</v>
      </c>
      <c r="J1781" s="35" t="s">
        <v>14</v>
      </c>
      <c r="K1781" s="54"/>
    </row>
    <row r="1782" spans="2:11">
      <c r="B1782" s="22" t="s">
        <v>192</v>
      </c>
      <c r="C1782" s="28">
        <f>IF(B1782&lt;&gt;"",VLOOKUP(B1782,Projetos!E:F,2,0),"")</f>
        <v>32</v>
      </c>
      <c r="E1782" s="22" t="s">
        <v>193</v>
      </c>
      <c r="F1782" s="71" t="s">
        <v>994</v>
      </c>
      <c r="G1782" s="41" t="s">
        <v>34</v>
      </c>
      <c r="H1782" s="42">
        <v>45597</v>
      </c>
      <c r="I1782" s="43">
        <v>0.20833333333333334</v>
      </c>
      <c r="J1782" s="35" t="s">
        <v>14</v>
      </c>
      <c r="K1782" s="54"/>
    </row>
    <row r="1783" spans="2:11">
      <c r="B1783" s="22" t="s">
        <v>192</v>
      </c>
      <c r="C1783" s="28">
        <f>IF(B1783&lt;&gt;"",VLOOKUP(B1783,Projetos!E:F,2,0),"")</f>
        <v>32</v>
      </c>
      <c r="E1783" s="22" t="s">
        <v>193</v>
      </c>
      <c r="F1783" s="71" t="s">
        <v>994</v>
      </c>
      <c r="G1783" s="41" t="s">
        <v>34</v>
      </c>
      <c r="H1783" s="42">
        <v>45600</v>
      </c>
      <c r="I1783" s="43">
        <v>0.20833333333333334</v>
      </c>
      <c r="J1783" s="35" t="s">
        <v>14</v>
      </c>
      <c r="K1783" s="54"/>
    </row>
    <row r="1784" spans="2:11">
      <c r="B1784" s="22" t="s">
        <v>192</v>
      </c>
      <c r="C1784" s="28">
        <f>IF(B1784&lt;&gt;"",VLOOKUP(B1784,Projetos!E:F,2,0),"")</f>
        <v>32</v>
      </c>
      <c r="E1784" s="22" t="s">
        <v>193</v>
      </c>
      <c r="F1784" s="71" t="s">
        <v>994</v>
      </c>
      <c r="G1784" s="41" t="s">
        <v>34</v>
      </c>
      <c r="H1784" s="42">
        <v>45601</v>
      </c>
      <c r="I1784" s="43">
        <v>0.20833333333333334</v>
      </c>
      <c r="J1784" s="35" t="s">
        <v>14</v>
      </c>
      <c r="K1784" s="54"/>
    </row>
    <row r="1785" spans="2:11">
      <c r="B1785" s="22" t="s">
        <v>192</v>
      </c>
      <c r="C1785" s="28">
        <f>IF(B1785&lt;&gt;"",VLOOKUP(B1785,Projetos!E:F,2,0),"")</f>
        <v>32</v>
      </c>
      <c r="E1785" s="22" t="s">
        <v>193</v>
      </c>
      <c r="F1785" s="71" t="s">
        <v>994</v>
      </c>
      <c r="G1785" s="41" t="s">
        <v>34</v>
      </c>
      <c r="H1785" s="42">
        <v>45602</v>
      </c>
      <c r="I1785" s="43">
        <v>0.20833333333333334</v>
      </c>
      <c r="J1785" s="35" t="s">
        <v>14</v>
      </c>
      <c r="K1785" s="54"/>
    </row>
    <row r="1786" spans="2:11">
      <c r="B1786" s="22" t="s">
        <v>192</v>
      </c>
      <c r="C1786" s="28">
        <f>IF(B1786&lt;&gt;"",VLOOKUP(B1786,Projetos!E:F,2,0),"")</f>
        <v>32</v>
      </c>
      <c r="E1786" s="22" t="s">
        <v>193</v>
      </c>
      <c r="F1786" s="71" t="s">
        <v>994</v>
      </c>
      <c r="G1786" s="41" t="s">
        <v>34</v>
      </c>
      <c r="H1786" s="42">
        <v>45603</v>
      </c>
      <c r="I1786" s="43">
        <v>0.20833333333333334</v>
      </c>
      <c r="J1786" s="35" t="s">
        <v>14</v>
      </c>
      <c r="K1786" s="54"/>
    </row>
    <row r="1787" spans="2:11">
      <c r="B1787" s="22" t="s">
        <v>192</v>
      </c>
      <c r="C1787" s="28">
        <f>IF(B1787&lt;&gt;"",VLOOKUP(B1787,Projetos!E:F,2,0),"")</f>
        <v>32</v>
      </c>
      <c r="E1787" s="22" t="s">
        <v>193</v>
      </c>
      <c r="F1787" s="71" t="s">
        <v>994</v>
      </c>
      <c r="G1787" s="41" t="s">
        <v>34</v>
      </c>
      <c r="H1787" s="42">
        <v>45604</v>
      </c>
      <c r="I1787" s="43">
        <v>0.20833333333333334</v>
      </c>
      <c r="J1787" s="35" t="s">
        <v>14</v>
      </c>
      <c r="K1787" s="54"/>
    </row>
    <row r="1788" spans="2:11">
      <c r="B1788" s="22" t="s">
        <v>138</v>
      </c>
      <c r="C1788" s="28">
        <f>IF(B1788&lt;&gt;"",VLOOKUP(B1788,Projetos!E:F,2,0),"")</f>
        <v>30</v>
      </c>
      <c r="E1788" s="22" t="s">
        <v>26</v>
      </c>
      <c r="F1788" s="71" t="s">
        <v>1010</v>
      </c>
      <c r="G1788" s="41" t="s">
        <v>34</v>
      </c>
      <c r="H1788" s="42">
        <v>45604</v>
      </c>
      <c r="I1788" s="43">
        <v>4.1666666666666664E-2</v>
      </c>
      <c r="J1788" s="35" t="s">
        <v>14</v>
      </c>
      <c r="K1788" s="54"/>
    </row>
    <row r="1789" spans="2:11">
      <c r="B1789" s="22" t="s">
        <v>643</v>
      </c>
      <c r="C1789" s="28">
        <f>IF(B1789&lt;&gt;"",VLOOKUP(B1789,Projetos!E:F,2,0),"")</f>
        <v>52</v>
      </c>
      <c r="E1789" s="22" t="s">
        <v>23</v>
      </c>
      <c r="F1789" s="71" t="s">
        <v>1011</v>
      </c>
      <c r="G1789" s="41" t="s">
        <v>528</v>
      </c>
      <c r="H1789" s="42">
        <v>45610</v>
      </c>
      <c r="I1789" s="43">
        <v>0.20833333333333334</v>
      </c>
      <c r="J1789" s="35" t="s">
        <v>14</v>
      </c>
      <c r="K1789" s="54"/>
    </row>
    <row r="1790" spans="2:11" ht="30">
      <c r="B1790" s="22" t="s">
        <v>138</v>
      </c>
      <c r="C1790" s="28">
        <f>IF(B1790&lt;&gt;"",VLOOKUP(B1790,Projetos!E:F,2,0),"")</f>
        <v>30</v>
      </c>
      <c r="E1790" s="22" t="s">
        <v>26</v>
      </c>
      <c r="F1790" s="71" t="s">
        <v>1012</v>
      </c>
      <c r="G1790" s="41" t="s">
        <v>34</v>
      </c>
      <c r="H1790" s="42">
        <v>45610</v>
      </c>
      <c r="I1790" s="43">
        <v>0.33333333333333331</v>
      </c>
      <c r="J1790" s="35" t="s">
        <v>14</v>
      </c>
      <c r="K1790" s="54"/>
    </row>
    <row r="1791" spans="2:11" ht="30">
      <c r="B1791" s="22" t="s">
        <v>136</v>
      </c>
      <c r="C1791" s="28">
        <f>IF(B1791&lt;&gt;"",VLOOKUP(B1791,Projetos!E:F,2,0),"")</f>
        <v>25</v>
      </c>
      <c r="E1791" s="22" t="s">
        <v>40</v>
      </c>
      <c r="F1791" s="71" t="s">
        <v>1013</v>
      </c>
      <c r="G1791" s="41" t="s">
        <v>528</v>
      </c>
      <c r="H1791" s="42">
        <v>45607</v>
      </c>
      <c r="I1791" s="43">
        <v>0.20833333333333334</v>
      </c>
      <c r="J1791" s="35" t="s">
        <v>14</v>
      </c>
      <c r="K1791" s="54"/>
    </row>
    <row r="1792" spans="2:11">
      <c r="B1792" s="22" t="s">
        <v>136</v>
      </c>
      <c r="C1792" s="28">
        <f>IF(B1792&lt;&gt;"",VLOOKUP(B1792,Projetos!E:F,2,0),"")</f>
        <v>25</v>
      </c>
      <c r="E1792" s="22" t="s">
        <v>40</v>
      </c>
      <c r="F1792" s="71" t="s">
        <v>1014</v>
      </c>
      <c r="G1792" s="41" t="s">
        <v>528</v>
      </c>
      <c r="H1792" s="42">
        <v>45608</v>
      </c>
      <c r="I1792" s="43">
        <v>0.20833333333333334</v>
      </c>
      <c r="J1792" s="35" t="s">
        <v>14</v>
      </c>
      <c r="K1792" s="54"/>
    </row>
    <row r="1793" spans="2:11">
      <c r="B1793" s="22" t="s">
        <v>643</v>
      </c>
      <c r="C1793" s="28">
        <f>IF(B1793&lt;&gt;"",VLOOKUP(B1793,Projetos!E:F,2,0),"")</f>
        <v>52</v>
      </c>
      <c r="E1793" s="22" t="s">
        <v>23</v>
      </c>
      <c r="F1793" s="71" t="s">
        <v>1015</v>
      </c>
      <c r="G1793" s="41" t="s">
        <v>528</v>
      </c>
      <c r="H1793" s="42">
        <v>45609</v>
      </c>
      <c r="I1793" s="43">
        <v>0.20833333333333334</v>
      </c>
      <c r="J1793" s="35" t="s">
        <v>14</v>
      </c>
      <c r="K1793" s="54"/>
    </row>
    <row r="1794" spans="2:11">
      <c r="B1794" s="22" t="s">
        <v>192</v>
      </c>
      <c r="C1794" s="28">
        <f>IF(B1794&lt;&gt;"",VLOOKUP(B1794,Projetos!E:F,2,0),"")</f>
        <v>32</v>
      </c>
      <c r="E1794" s="22" t="s">
        <v>193</v>
      </c>
      <c r="F1794" s="71" t="s">
        <v>1016</v>
      </c>
      <c r="G1794" s="41" t="s">
        <v>528</v>
      </c>
      <c r="H1794" s="42">
        <v>45614</v>
      </c>
      <c r="I1794" s="43">
        <v>0.20833333333333334</v>
      </c>
      <c r="J1794" s="35" t="s">
        <v>14</v>
      </c>
      <c r="K1794" s="54"/>
    </row>
    <row r="1795" spans="2:11" ht="30">
      <c r="B1795" s="22" t="s">
        <v>138</v>
      </c>
      <c r="C1795" s="28">
        <f>IF(B1795&lt;&gt;"",VLOOKUP(B1795,Projetos!E:F,2,0),"")</f>
        <v>30</v>
      </c>
      <c r="E1795" s="22" t="s">
        <v>26</v>
      </c>
      <c r="F1795" s="71" t="s">
        <v>1017</v>
      </c>
      <c r="G1795" s="41" t="s">
        <v>34</v>
      </c>
      <c r="H1795" s="42">
        <v>45614</v>
      </c>
      <c r="I1795" s="43">
        <v>0.33333333333333331</v>
      </c>
      <c r="J1795" s="35" t="s">
        <v>14</v>
      </c>
      <c r="K1795" s="54"/>
    </row>
    <row r="1796" spans="2:11">
      <c r="B1796" s="22" t="s">
        <v>643</v>
      </c>
      <c r="C1796" s="28">
        <f>IF(B1796&lt;&gt;"",VLOOKUP(B1796,Projetos!E:F,2,0),"")</f>
        <v>52</v>
      </c>
      <c r="E1796" s="22" t="s">
        <v>23</v>
      </c>
      <c r="F1796" s="71" t="s">
        <v>1018</v>
      </c>
      <c r="G1796" s="41" t="s">
        <v>528</v>
      </c>
      <c r="H1796" s="42">
        <v>45615</v>
      </c>
      <c r="I1796" s="43">
        <v>0.20833333333333334</v>
      </c>
      <c r="J1796" s="35" t="s">
        <v>14</v>
      </c>
      <c r="K1796" s="54"/>
    </row>
    <row r="1797" spans="2:11" ht="30">
      <c r="B1797" s="22" t="s">
        <v>138</v>
      </c>
      <c r="C1797" s="28">
        <f>IF(B1797&lt;&gt;"",VLOOKUP(B1797,Projetos!E:F,2,0),"")</f>
        <v>30</v>
      </c>
      <c r="E1797" s="22" t="s">
        <v>26</v>
      </c>
      <c r="F1797" s="71" t="s">
        <v>1012</v>
      </c>
      <c r="G1797" s="41" t="s">
        <v>34</v>
      </c>
      <c r="H1797" s="42">
        <v>45615</v>
      </c>
      <c r="I1797" s="43">
        <v>0.33333333333333331</v>
      </c>
      <c r="J1797" s="35" t="s">
        <v>14</v>
      </c>
      <c r="K1797" s="54"/>
    </row>
    <row r="1798" spans="2:11" ht="30">
      <c r="B1798" s="22" t="s">
        <v>138</v>
      </c>
      <c r="C1798" s="28">
        <f>IF(B1798&lt;&gt;"",VLOOKUP(B1798,Projetos!E:F,2,0),"")</f>
        <v>30</v>
      </c>
      <c r="E1798" s="22" t="s">
        <v>26</v>
      </c>
      <c r="F1798" s="71" t="s">
        <v>1012</v>
      </c>
      <c r="G1798" s="41" t="s">
        <v>34</v>
      </c>
      <c r="H1798" s="42">
        <v>45617</v>
      </c>
      <c r="I1798" s="43">
        <v>0.33333333333333331</v>
      </c>
      <c r="J1798" s="35" t="s">
        <v>14</v>
      </c>
      <c r="K1798" s="54"/>
    </row>
    <row r="1799" spans="2:11">
      <c r="B1799" s="22" t="s">
        <v>643</v>
      </c>
      <c r="C1799" s="28">
        <f>IF(B1799&lt;&gt;"",VLOOKUP(B1799,Projetos!E:F,2,0),"")</f>
        <v>52</v>
      </c>
      <c r="E1799" s="22" t="s">
        <v>23</v>
      </c>
      <c r="F1799" s="71" t="s">
        <v>1019</v>
      </c>
      <c r="G1799" s="41" t="s">
        <v>528</v>
      </c>
      <c r="H1799" s="42">
        <v>45617</v>
      </c>
      <c r="I1799" s="43">
        <v>0.20833333333333334</v>
      </c>
      <c r="J1799" s="35" t="s">
        <v>14</v>
      </c>
      <c r="K1799" s="54"/>
    </row>
    <row r="1800" spans="2:11">
      <c r="B1800" s="22" t="s">
        <v>643</v>
      </c>
      <c r="C1800" s="28">
        <f>IF(B1800&lt;&gt;"",VLOOKUP(B1800,Projetos!E:F,2,0),"")</f>
        <v>52</v>
      </c>
      <c r="E1800" s="22" t="s">
        <v>23</v>
      </c>
      <c r="F1800" s="71" t="s">
        <v>1019</v>
      </c>
      <c r="G1800" s="41" t="s">
        <v>528</v>
      </c>
      <c r="H1800" s="42">
        <v>45618</v>
      </c>
      <c r="I1800" s="43">
        <v>0.20833333333333334</v>
      </c>
      <c r="J1800" s="35" t="s">
        <v>14</v>
      </c>
      <c r="K1800" s="54"/>
    </row>
    <row r="1801" spans="2:11">
      <c r="B1801" s="22" t="s">
        <v>138</v>
      </c>
      <c r="C1801" s="28">
        <f>IF(B1801&lt;&gt;"",VLOOKUP(B1801,Projetos!E:F,2,0),"")</f>
        <v>30</v>
      </c>
      <c r="E1801" s="22" t="s">
        <v>26</v>
      </c>
      <c r="F1801" s="71" t="s">
        <v>1020</v>
      </c>
      <c r="G1801" s="41" t="s">
        <v>34</v>
      </c>
      <c r="H1801" s="42">
        <v>45618</v>
      </c>
      <c r="I1801" s="43">
        <v>0.33333333333333331</v>
      </c>
      <c r="J1801" s="35" t="s">
        <v>14</v>
      </c>
    </row>
    <row r="1802" spans="2:11">
      <c r="B1802" s="22" t="s">
        <v>192</v>
      </c>
      <c r="C1802" s="28">
        <f>IF(B1802&lt;&gt;"",VLOOKUP(B1802,Projetos!E:F,2,0),"")</f>
        <v>32</v>
      </c>
      <c r="E1802" s="22" t="s">
        <v>193</v>
      </c>
      <c r="F1802" s="71" t="s">
        <v>1021</v>
      </c>
      <c r="G1802" s="41" t="s">
        <v>525</v>
      </c>
      <c r="H1802" s="42">
        <v>45621</v>
      </c>
      <c r="I1802" s="59">
        <v>0.25</v>
      </c>
      <c r="J1802" s="35" t="s">
        <v>14</v>
      </c>
    </row>
    <row r="1803" spans="2:11">
      <c r="B1803" s="22" t="s">
        <v>192</v>
      </c>
      <c r="C1803" s="28">
        <f>IF(B1803&lt;&gt;"",VLOOKUP(B1803,Projetos!E:F,2,0),"")</f>
        <v>32</v>
      </c>
      <c r="E1803" s="22" t="s">
        <v>193</v>
      </c>
      <c r="F1803" s="71" t="s">
        <v>1021</v>
      </c>
      <c r="G1803" s="41" t="s">
        <v>528</v>
      </c>
      <c r="H1803" s="42">
        <v>45621</v>
      </c>
      <c r="I1803" s="43">
        <v>0.20833333333333334</v>
      </c>
      <c r="J1803" s="35" t="s">
        <v>14</v>
      </c>
    </row>
    <row r="1804" spans="2:11">
      <c r="B1804" s="22" t="s">
        <v>156</v>
      </c>
      <c r="C1804" s="28">
        <f>IF(B1804&lt;&gt;"",VLOOKUP(B1804,Projetos!E:F,2,0),"")</f>
        <v>3</v>
      </c>
      <c r="E1804" s="22" t="s">
        <v>40</v>
      </c>
      <c r="F1804" s="71" t="s">
        <v>1022</v>
      </c>
      <c r="G1804" s="41" t="s">
        <v>525</v>
      </c>
      <c r="H1804" s="42">
        <v>45622</v>
      </c>
      <c r="I1804" s="43">
        <v>0.25</v>
      </c>
      <c r="J1804" s="35" t="s">
        <v>14</v>
      </c>
    </row>
    <row r="1805" spans="2:11">
      <c r="B1805" s="22" t="s">
        <v>156</v>
      </c>
      <c r="C1805" s="28">
        <f>IF(B1805&lt;&gt;"",VLOOKUP(B1805,Projetos!E:F,2,0),"")</f>
        <v>3</v>
      </c>
      <c r="E1805" s="22" t="s">
        <v>40</v>
      </c>
      <c r="F1805" s="71" t="s">
        <v>1023</v>
      </c>
      <c r="G1805" s="41" t="s">
        <v>525</v>
      </c>
      <c r="H1805" s="42">
        <v>45623</v>
      </c>
      <c r="I1805" s="43">
        <v>0.25</v>
      </c>
      <c r="J1805" s="35" t="s">
        <v>14</v>
      </c>
    </row>
    <row r="1806" spans="2:11">
      <c r="B1806" s="22" t="s">
        <v>156</v>
      </c>
      <c r="C1806" s="28">
        <f>IF(B1806&lt;&gt;"",VLOOKUP(B1806,Projetos!E:F,2,0),"")</f>
        <v>3</v>
      </c>
      <c r="E1806" s="22" t="s">
        <v>119</v>
      </c>
      <c r="F1806" s="71" t="s">
        <v>1022</v>
      </c>
      <c r="G1806" s="41" t="s">
        <v>528</v>
      </c>
      <c r="H1806" s="42">
        <v>45622</v>
      </c>
      <c r="I1806" s="43">
        <v>0.20833333333333334</v>
      </c>
      <c r="J1806" s="35" t="s">
        <v>14</v>
      </c>
    </row>
    <row r="1807" spans="2:11">
      <c r="B1807" s="22" t="s">
        <v>156</v>
      </c>
      <c r="C1807" s="28">
        <f>IF(B1807&lt;&gt;"",VLOOKUP(B1807,Projetos!E:F,2,0),"")</f>
        <v>3</v>
      </c>
      <c r="E1807" s="22" t="s">
        <v>40</v>
      </c>
      <c r="F1807" s="71" t="s">
        <v>1023</v>
      </c>
      <c r="G1807" s="41" t="s">
        <v>528</v>
      </c>
      <c r="H1807" s="42">
        <v>45623</v>
      </c>
      <c r="I1807" s="43">
        <v>0.20833333333333334</v>
      </c>
      <c r="J1807" s="35" t="s">
        <v>14</v>
      </c>
    </row>
    <row r="1808" spans="2:11">
      <c r="B1808" s="22" t="s">
        <v>156</v>
      </c>
      <c r="C1808" s="28">
        <f>IF(B1808&lt;&gt;"",VLOOKUP(B1808,Projetos!E:F,2,0),"")</f>
        <v>3</v>
      </c>
      <c r="E1808" s="22" t="s">
        <v>40</v>
      </c>
      <c r="F1808" s="71" t="s">
        <v>1024</v>
      </c>
      <c r="G1808" s="41" t="s">
        <v>525</v>
      </c>
      <c r="H1808" s="42">
        <v>45624</v>
      </c>
      <c r="I1808" s="43">
        <v>0.25</v>
      </c>
      <c r="J1808" s="35" t="s">
        <v>14</v>
      </c>
    </row>
    <row r="1809" spans="2:10">
      <c r="B1809" s="22" t="s">
        <v>156</v>
      </c>
      <c r="C1809" s="28">
        <f>IF(B1809&lt;&gt;"",VLOOKUP(B1809,Projetos!E:F,2,0),"")</f>
        <v>3</v>
      </c>
      <c r="E1809" s="22" t="s">
        <v>40</v>
      </c>
      <c r="F1809" s="71" t="s">
        <v>1024</v>
      </c>
      <c r="G1809" s="41" t="s">
        <v>528</v>
      </c>
      <c r="H1809" s="42">
        <v>45624</v>
      </c>
      <c r="I1809" s="43">
        <v>0.20833333333333334</v>
      </c>
      <c r="J1809" s="35" t="s">
        <v>14</v>
      </c>
    </row>
    <row r="1810" spans="2:10">
      <c r="B1810" s="22" t="s">
        <v>192</v>
      </c>
      <c r="C1810" s="28">
        <f>IF(B1810&lt;&gt;"",VLOOKUP(B1810,Projetos!E:F,2,0),"")</f>
        <v>32</v>
      </c>
      <c r="E1810" s="22" t="s">
        <v>193</v>
      </c>
      <c r="F1810" s="71" t="s">
        <v>1025</v>
      </c>
      <c r="G1810" s="41" t="s">
        <v>528</v>
      </c>
      <c r="H1810" s="42">
        <v>45625</v>
      </c>
      <c r="I1810" s="43">
        <v>0.20833333333333334</v>
      </c>
      <c r="J1810" s="35" t="s">
        <v>14</v>
      </c>
    </row>
    <row r="1811" spans="2:10">
      <c r="B1811" s="22" t="s">
        <v>968</v>
      </c>
      <c r="C1811" s="28">
        <f>IF(B1811&lt;&gt;"",VLOOKUP(B1811,Projetos!E:F,2,0),"")</f>
        <v>57</v>
      </c>
      <c r="E1811" s="22" t="s">
        <v>23</v>
      </c>
      <c r="F1811" s="71" t="s">
        <v>985</v>
      </c>
      <c r="G1811" s="41" t="s">
        <v>64</v>
      </c>
      <c r="H1811" s="42">
        <v>45603</v>
      </c>
      <c r="I1811" s="43">
        <v>0.33333333333333331</v>
      </c>
      <c r="J1811" s="35" t="s">
        <v>14</v>
      </c>
    </row>
    <row r="1812" spans="2:10">
      <c r="B1812" s="22" t="s">
        <v>968</v>
      </c>
      <c r="C1812" s="28">
        <f>IF(B1812&lt;&gt;"",VLOOKUP(B1812,Projetos!E:F,2,0),"")</f>
        <v>57</v>
      </c>
      <c r="E1812" s="22" t="s">
        <v>23</v>
      </c>
      <c r="F1812" s="71" t="s">
        <v>985</v>
      </c>
      <c r="G1812" s="41" t="s">
        <v>64</v>
      </c>
      <c r="H1812" s="42">
        <v>45604</v>
      </c>
      <c r="I1812" s="43">
        <v>0.16666666666666666</v>
      </c>
      <c r="J1812" s="35" t="s">
        <v>14</v>
      </c>
    </row>
    <row r="1813" spans="2:10">
      <c r="B1813" s="22" t="s">
        <v>138</v>
      </c>
      <c r="C1813" s="28">
        <f>IF(B1813&lt;&gt;"",VLOOKUP(B1813,Projetos!E:F,2,0),"")</f>
        <v>30</v>
      </c>
      <c r="E1813" s="22" t="s">
        <v>144</v>
      </c>
      <c r="F1813" s="71" t="s">
        <v>703</v>
      </c>
      <c r="G1813" s="41" t="s">
        <v>64</v>
      </c>
      <c r="H1813" s="42">
        <v>45604</v>
      </c>
      <c r="I1813" s="43">
        <v>0.16666666666666666</v>
      </c>
      <c r="J1813" s="35" t="s">
        <v>14</v>
      </c>
    </row>
    <row r="1814" spans="2:10">
      <c r="B1814" s="22" t="s">
        <v>136</v>
      </c>
      <c r="C1814" s="28">
        <f>IF(B1814&lt;&gt;"",VLOOKUP(B1814,Projetos!E:F,2,0),"")</f>
        <v>25</v>
      </c>
      <c r="E1814" s="22" t="s">
        <v>40</v>
      </c>
      <c r="F1814" s="71" t="s">
        <v>1026</v>
      </c>
      <c r="G1814" s="41" t="s">
        <v>64</v>
      </c>
      <c r="H1814" s="42">
        <v>45607</v>
      </c>
      <c r="I1814" s="43">
        <v>0.16666666666666666</v>
      </c>
      <c r="J1814" s="35" t="s">
        <v>14</v>
      </c>
    </row>
    <row r="1815" spans="2:10">
      <c r="B1815" s="22" t="s">
        <v>968</v>
      </c>
      <c r="C1815" s="28">
        <f>IF(B1815&lt;&gt;"",VLOOKUP(B1815,Projetos!E:F,2,0),"")</f>
        <v>57</v>
      </c>
      <c r="E1815" s="22" t="s">
        <v>23</v>
      </c>
      <c r="F1815" s="71" t="s">
        <v>985</v>
      </c>
      <c r="G1815" s="41" t="s">
        <v>64</v>
      </c>
      <c r="H1815" s="42">
        <v>45607</v>
      </c>
      <c r="I1815" s="43">
        <v>0.16666666666666666</v>
      </c>
      <c r="J1815" s="35" t="s">
        <v>14</v>
      </c>
    </row>
    <row r="1816" spans="2:10">
      <c r="B1816" s="22" t="s">
        <v>136</v>
      </c>
      <c r="C1816" s="28">
        <f>IF(B1816&lt;&gt;"",VLOOKUP(B1816,Projetos!E:F,2,0),"")</f>
        <v>25</v>
      </c>
      <c r="E1816" s="22" t="s">
        <v>40</v>
      </c>
      <c r="F1816" s="71" t="s">
        <v>1026</v>
      </c>
      <c r="G1816" s="41" t="s">
        <v>64</v>
      </c>
      <c r="H1816" s="42">
        <v>45608</v>
      </c>
      <c r="I1816" s="43">
        <v>0.16666666666666666</v>
      </c>
      <c r="J1816" s="35" t="s">
        <v>14</v>
      </c>
    </row>
    <row r="1817" spans="2:10">
      <c r="B1817" s="22" t="s">
        <v>138</v>
      </c>
      <c r="C1817" s="28">
        <f>IF(B1817&lt;&gt;"",VLOOKUP(B1817,Projetos!E:F,2,0),"")</f>
        <v>30</v>
      </c>
      <c r="E1817" s="22" t="s">
        <v>23</v>
      </c>
      <c r="F1817" s="71" t="s">
        <v>1027</v>
      </c>
      <c r="G1817" s="41" t="s">
        <v>64</v>
      </c>
      <c r="H1817" s="42">
        <v>45608</v>
      </c>
      <c r="I1817" s="43">
        <v>0.16666666666666666</v>
      </c>
      <c r="J1817" s="35" t="s">
        <v>14</v>
      </c>
    </row>
    <row r="1818" spans="2:10">
      <c r="B1818" s="22" t="s">
        <v>136</v>
      </c>
      <c r="C1818" s="28">
        <f>IF(B1818&lt;&gt;"",VLOOKUP(B1818,Projetos!E:F,2,0),"")</f>
        <v>25</v>
      </c>
      <c r="E1818" s="22" t="s">
        <v>40</v>
      </c>
      <c r="F1818" s="71" t="s">
        <v>1026</v>
      </c>
      <c r="G1818" s="41" t="s">
        <v>64</v>
      </c>
      <c r="H1818" s="42">
        <v>45609</v>
      </c>
      <c r="I1818" s="43">
        <v>0.16666666666666666</v>
      </c>
      <c r="J1818" s="35" t="s">
        <v>14</v>
      </c>
    </row>
    <row r="1819" spans="2:10">
      <c r="B1819" s="22" t="s">
        <v>138</v>
      </c>
      <c r="C1819" s="28">
        <f>IF(B1819&lt;&gt;"",VLOOKUP(B1819,Projetos!E:F,2,0),"")</f>
        <v>30</v>
      </c>
      <c r="E1819" s="22" t="s">
        <v>23</v>
      </c>
      <c r="F1819" s="71" t="s">
        <v>1027</v>
      </c>
      <c r="G1819" s="41" t="s">
        <v>64</v>
      </c>
      <c r="H1819" s="42">
        <v>45609</v>
      </c>
      <c r="I1819" s="43">
        <v>0.16666666666666666</v>
      </c>
      <c r="J1819" s="35" t="s">
        <v>14</v>
      </c>
    </row>
    <row r="1820" spans="2:10">
      <c r="B1820" s="22" t="s">
        <v>138</v>
      </c>
      <c r="C1820" s="28">
        <f>IF(B1820&lt;&gt;"",VLOOKUP(B1820,Projetos!E:F,2,0),"")</f>
        <v>30</v>
      </c>
      <c r="E1820" s="22" t="s">
        <v>23</v>
      </c>
      <c r="F1820" s="71" t="s">
        <v>1027</v>
      </c>
      <c r="G1820" s="41" t="s">
        <v>64</v>
      </c>
      <c r="H1820" s="42">
        <v>45610</v>
      </c>
      <c r="I1820" s="43">
        <v>0.33333333333333331</v>
      </c>
      <c r="J1820" s="35" t="s">
        <v>14</v>
      </c>
    </row>
    <row r="1821" spans="2:10">
      <c r="B1821" s="22" t="s">
        <v>138</v>
      </c>
      <c r="C1821" s="28">
        <f>IF(B1821&lt;&gt;"",VLOOKUP(B1821,Projetos!E:F,2,0),"")</f>
        <v>30</v>
      </c>
      <c r="E1821" s="22" t="s">
        <v>23</v>
      </c>
      <c r="F1821" s="71" t="s">
        <v>1027</v>
      </c>
      <c r="G1821" s="41" t="s">
        <v>64</v>
      </c>
      <c r="H1821" s="42">
        <v>45611</v>
      </c>
      <c r="I1821" s="43">
        <v>0.33333333333333331</v>
      </c>
      <c r="J1821" s="35" t="s">
        <v>14</v>
      </c>
    </row>
    <row r="1822" spans="2:10">
      <c r="B1822" s="22" t="s">
        <v>136</v>
      </c>
      <c r="C1822" s="28">
        <f>IF(B1822&lt;&gt;"",VLOOKUP(B1822,Projetos!E:F,2,0),"")</f>
        <v>25</v>
      </c>
      <c r="E1822" s="22" t="s">
        <v>40</v>
      </c>
      <c r="F1822" s="71" t="s">
        <v>1026</v>
      </c>
      <c r="G1822" s="41" t="s">
        <v>64</v>
      </c>
      <c r="H1822" s="42">
        <v>45614</v>
      </c>
      <c r="I1822" s="43">
        <v>0.16666666666666666</v>
      </c>
      <c r="J1822" s="35" t="s">
        <v>14</v>
      </c>
    </row>
    <row r="1823" spans="2:10">
      <c r="B1823" s="22" t="s">
        <v>156</v>
      </c>
      <c r="C1823" s="28">
        <f>IF(B1823&lt;&gt;"",VLOOKUP(B1823,Projetos!E:F,2,0),"")</f>
        <v>3</v>
      </c>
      <c r="E1823" s="22" t="s">
        <v>40</v>
      </c>
      <c r="F1823" s="71" t="s">
        <v>1028</v>
      </c>
      <c r="G1823" s="41" t="s">
        <v>64</v>
      </c>
      <c r="H1823" s="42">
        <v>45614</v>
      </c>
      <c r="I1823" s="43">
        <v>0.16666666666666666</v>
      </c>
      <c r="J1823" s="35" t="s">
        <v>14</v>
      </c>
    </row>
    <row r="1824" spans="2:10">
      <c r="B1824" s="22" t="s">
        <v>136</v>
      </c>
      <c r="C1824" s="28">
        <f>IF(B1824&lt;&gt;"",VLOOKUP(B1824,Projetos!E:F,2,0),"")</f>
        <v>25</v>
      </c>
      <c r="E1824" s="22" t="s">
        <v>40</v>
      </c>
      <c r="F1824" s="71" t="s">
        <v>1026</v>
      </c>
      <c r="G1824" s="41" t="s">
        <v>64</v>
      </c>
      <c r="H1824" s="42">
        <v>45615</v>
      </c>
      <c r="I1824" s="43">
        <v>0.16666666666666666</v>
      </c>
      <c r="J1824" s="35" t="s">
        <v>14</v>
      </c>
    </row>
    <row r="1825" spans="2:10">
      <c r="B1825" s="22" t="s">
        <v>156</v>
      </c>
      <c r="C1825" s="28">
        <f>IF(B1825&lt;&gt;"",VLOOKUP(B1825,Projetos!E:F,2,0),"")</f>
        <v>3</v>
      </c>
      <c r="E1825" s="22" t="s">
        <v>40</v>
      </c>
      <c r="F1825" s="71" t="s">
        <v>1028</v>
      </c>
      <c r="G1825" s="41" t="s">
        <v>64</v>
      </c>
      <c r="H1825" s="42">
        <v>45615</v>
      </c>
      <c r="I1825" s="43">
        <v>0.16666666666666666</v>
      </c>
      <c r="J1825" s="35" t="s">
        <v>14</v>
      </c>
    </row>
    <row r="1826" spans="2:10">
      <c r="B1826" s="22" t="s">
        <v>136</v>
      </c>
      <c r="C1826" s="28">
        <f>IF(B1826&lt;&gt;"",VLOOKUP(B1826,Projetos!E:F,2,0),"")</f>
        <v>25</v>
      </c>
      <c r="E1826" s="22" t="s">
        <v>40</v>
      </c>
      <c r="F1826" s="71" t="s">
        <v>1026</v>
      </c>
      <c r="G1826" s="41" t="s">
        <v>64</v>
      </c>
      <c r="H1826" s="42">
        <v>45616</v>
      </c>
      <c r="I1826" s="43">
        <v>0.16666666666666666</v>
      </c>
      <c r="J1826" s="35" t="s">
        <v>14</v>
      </c>
    </row>
    <row r="1827" spans="2:10">
      <c r="B1827" s="22" t="s">
        <v>156</v>
      </c>
      <c r="C1827" s="28">
        <f>IF(B1827&lt;&gt;"",VLOOKUP(B1827,Projetos!E:F,2,0),"")</f>
        <v>3</v>
      </c>
      <c r="E1827" s="22" t="s">
        <v>40</v>
      </c>
      <c r="F1827" s="71" t="s">
        <v>1028</v>
      </c>
      <c r="G1827" s="41" t="s">
        <v>64</v>
      </c>
      <c r="H1827" s="42">
        <v>45616</v>
      </c>
      <c r="I1827" s="43">
        <v>0.16666666666666666</v>
      </c>
      <c r="J1827" s="35" t="s">
        <v>14</v>
      </c>
    </row>
    <row r="1828" spans="2:10">
      <c r="B1828" s="22" t="s">
        <v>643</v>
      </c>
      <c r="C1828" s="28">
        <f>IF(B1828&lt;&gt;"",VLOOKUP(B1828,Projetos!E:F,2,0),"")</f>
        <v>52</v>
      </c>
      <c r="E1828" s="22" t="s">
        <v>23</v>
      </c>
      <c r="F1828" s="71" t="s">
        <v>1029</v>
      </c>
      <c r="G1828" s="41" t="s">
        <v>64</v>
      </c>
      <c r="H1828" s="42">
        <v>45617</v>
      </c>
      <c r="I1828" s="43">
        <v>0.33333333333333331</v>
      </c>
      <c r="J1828" s="35" t="s">
        <v>14</v>
      </c>
    </row>
    <row r="1829" spans="2:10">
      <c r="B1829" s="22" t="s">
        <v>140</v>
      </c>
      <c r="C1829" s="28">
        <f>IF(B1829&lt;&gt;"",VLOOKUP(B1829,Projetos!E:F,2,0),"")</f>
        <v>39</v>
      </c>
      <c r="E1829" s="22" t="s">
        <v>23</v>
      </c>
      <c r="F1829" s="71" t="s">
        <v>1030</v>
      </c>
      <c r="G1829" s="41" t="s">
        <v>64</v>
      </c>
      <c r="H1829" s="42">
        <v>45618</v>
      </c>
      <c r="I1829" s="43">
        <v>0.33333333333333331</v>
      </c>
      <c r="J1829" s="35" t="s">
        <v>14</v>
      </c>
    </row>
    <row r="1830" spans="2:10">
      <c r="B1830" s="22" t="s">
        <v>643</v>
      </c>
      <c r="C1830" s="28">
        <f>IF(B1830&lt;&gt;"",VLOOKUP(B1830,Projetos!E:F,2,0),"")</f>
        <v>52</v>
      </c>
      <c r="E1830" s="22" t="s">
        <v>23</v>
      </c>
      <c r="F1830" s="71" t="s">
        <v>1029</v>
      </c>
      <c r="G1830" s="41" t="s">
        <v>64</v>
      </c>
      <c r="H1830" s="42">
        <v>45621</v>
      </c>
      <c r="I1830" s="43">
        <v>0.33333333333333331</v>
      </c>
      <c r="J1830" s="35" t="s">
        <v>14</v>
      </c>
    </row>
    <row r="1831" spans="2:10">
      <c r="B1831" s="22" t="s">
        <v>136</v>
      </c>
      <c r="C1831" s="28">
        <f>IF(B1831&lt;&gt;"",VLOOKUP(B1831,Projetos!E:F,2,0),"")</f>
        <v>25</v>
      </c>
      <c r="E1831" s="22" t="s">
        <v>40</v>
      </c>
      <c r="F1831" s="71" t="s">
        <v>1026</v>
      </c>
      <c r="G1831" s="41" t="s">
        <v>64</v>
      </c>
      <c r="H1831" s="42">
        <v>45622</v>
      </c>
      <c r="I1831" s="43">
        <v>0.16666666666666666</v>
      </c>
      <c r="J1831" s="35" t="s">
        <v>14</v>
      </c>
    </row>
    <row r="1832" spans="2:10">
      <c r="B1832" s="22" t="s">
        <v>156</v>
      </c>
      <c r="C1832" s="28">
        <f>IF(B1832&lt;&gt;"",VLOOKUP(B1832,Projetos!E:F,2,0),"")</f>
        <v>3</v>
      </c>
      <c r="E1832" s="22" t="s">
        <v>40</v>
      </c>
      <c r="F1832" s="71" t="s">
        <v>1028</v>
      </c>
      <c r="G1832" s="41" t="s">
        <v>64</v>
      </c>
      <c r="H1832" s="42">
        <v>45622</v>
      </c>
      <c r="I1832" s="43">
        <v>0.16666666666666666</v>
      </c>
      <c r="J1832" s="35" t="s">
        <v>14</v>
      </c>
    </row>
    <row r="1833" spans="2:10">
      <c r="B1833" s="22" t="s">
        <v>156</v>
      </c>
      <c r="C1833" s="28">
        <f>IF(B1833&lt;&gt;"",VLOOKUP(B1833,Projetos!E:F,2,0),"")</f>
        <v>3</v>
      </c>
      <c r="E1833" s="22" t="s">
        <v>40</v>
      </c>
      <c r="F1833" s="71" t="s">
        <v>1028</v>
      </c>
      <c r="G1833" s="41" t="s">
        <v>64</v>
      </c>
      <c r="H1833" s="42">
        <v>45623</v>
      </c>
      <c r="I1833" s="43">
        <v>0.16666666666666666</v>
      </c>
      <c r="J1833" s="35" t="s">
        <v>14</v>
      </c>
    </row>
    <row r="1834" spans="2:10">
      <c r="B1834" s="22" t="s">
        <v>140</v>
      </c>
      <c r="C1834" s="28">
        <f>IF(B1834&lt;&gt;"",VLOOKUP(B1834,Projetos!E:F,2,0),"")</f>
        <v>39</v>
      </c>
      <c r="E1834" s="22" t="s">
        <v>23</v>
      </c>
      <c r="F1834" s="71" t="s">
        <v>1030</v>
      </c>
      <c r="G1834" s="41" t="s">
        <v>64</v>
      </c>
      <c r="H1834" s="42">
        <v>45623</v>
      </c>
      <c r="I1834" s="43">
        <v>0.16666666666666666</v>
      </c>
      <c r="J1834" s="35" t="s">
        <v>14</v>
      </c>
    </row>
    <row r="1835" spans="2:10">
      <c r="B1835" s="22" t="s">
        <v>140</v>
      </c>
      <c r="C1835" s="28">
        <f>IF(B1835&lt;&gt;"",VLOOKUP(B1835,Projetos!E:F,2,0),"")</f>
        <v>39</v>
      </c>
      <c r="E1835" s="22" t="s">
        <v>23</v>
      </c>
      <c r="F1835" s="71" t="s">
        <v>1030</v>
      </c>
      <c r="G1835" s="41" t="s">
        <v>64</v>
      </c>
      <c r="H1835" s="42">
        <v>45624</v>
      </c>
      <c r="I1835" s="43">
        <v>0.16666666666666666</v>
      </c>
      <c r="J1835" s="35" t="s">
        <v>14</v>
      </c>
    </row>
    <row r="1836" spans="2:10">
      <c r="B1836" s="22" t="s">
        <v>192</v>
      </c>
      <c r="C1836" s="28">
        <f>IF(B1836&lt;&gt;"",VLOOKUP(B1836,Projetos!E:F,2,0),"")</f>
        <v>32</v>
      </c>
      <c r="E1836" s="22" t="s">
        <v>193</v>
      </c>
      <c r="F1836" s="71" t="s">
        <v>1025</v>
      </c>
      <c r="G1836" s="41" t="s">
        <v>64</v>
      </c>
      <c r="H1836" s="42">
        <v>45625</v>
      </c>
      <c r="I1836" s="43">
        <v>0.33333333333333331</v>
      </c>
      <c r="J1836" s="35" t="s">
        <v>14</v>
      </c>
    </row>
    <row r="1837" spans="2:10">
      <c r="B1837" s="22" t="s">
        <v>192</v>
      </c>
      <c r="C1837" s="28">
        <f>IF(B1837&lt;&gt;"",VLOOKUP(B1837,Projetos!E:F,2,0),"")</f>
        <v>32</v>
      </c>
      <c r="E1837" s="22" t="s">
        <v>193</v>
      </c>
      <c r="F1837" s="71" t="s">
        <v>1025</v>
      </c>
      <c r="G1837" s="41" t="s">
        <v>525</v>
      </c>
      <c r="H1837" s="42">
        <v>45625</v>
      </c>
      <c r="I1837" s="43">
        <v>0.25</v>
      </c>
      <c r="J1837" s="35" t="s">
        <v>14</v>
      </c>
    </row>
    <row r="1838" spans="2:10">
      <c r="B1838" s="22" t="s">
        <v>156</v>
      </c>
      <c r="C1838" s="28">
        <f>IF(B1838&lt;&gt;"",VLOOKUP(B1838,Projetos!E:F,2,0),"")</f>
        <v>3</v>
      </c>
      <c r="E1838" s="22" t="s">
        <v>40</v>
      </c>
      <c r="F1838" s="71" t="s">
        <v>1031</v>
      </c>
      <c r="G1838" s="41" t="s">
        <v>525</v>
      </c>
      <c r="H1838" s="42">
        <v>45628</v>
      </c>
      <c r="I1838" s="43">
        <v>0.25</v>
      </c>
      <c r="J1838" s="35" t="s">
        <v>14</v>
      </c>
    </row>
    <row r="1839" spans="2:10">
      <c r="B1839" s="22" t="s">
        <v>968</v>
      </c>
      <c r="C1839" s="28">
        <f>IF(B1839&lt;&gt;"",VLOOKUP(B1839,Projetos!E:F,2,0),"")</f>
        <v>57</v>
      </c>
      <c r="E1839" s="22" t="s">
        <v>23</v>
      </c>
      <c r="F1839" s="71" t="s">
        <v>985</v>
      </c>
      <c r="G1839" s="41" t="s">
        <v>66</v>
      </c>
      <c r="H1839" s="42">
        <v>45603</v>
      </c>
      <c r="I1839" s="43">
        <v>0.25</v>
      </c>
      <c r="J1839" s="35" t="s">
        <v>14</v>
      </c>
    </row>
    <row r="1840" spans="2:10">
      <c r="B1840" s="22" t="s">
        <v>968</v>
      </c>
      <c r="C1840" s="28">
        <f>IF(B1840&lt;&gt;"",VLOOKUP(B1840,Projetos!E:F,2,0),"")</f>
        <v>57</v>
      </c>
      <c r="E1840" s="22" t="s">
        <v>23</v>
      </c>
      <c r="F1840" s="71" t="s">
        <v>985</v>
      </c>
      <c r="G1840" s="41" t="s">
        <v>66</v>
      </c>
      <c r="H1840" s="42">
        <v>45604</v>
      </c>
      <c r="I1840" s="43">
        <v>0.125</v>
      </c>
      <c r="J1840" s="35" t="s">
        <v>14</v>
      </c>
    </row>
    <row r="1841" spans="2:10">
      <c r="B1841" s="22" t="s">
        <v>156</v>
      </c>
      <c r="C1841" s="28">
        <f>IF(B1841&lt;&gt;"",VLOOKUP(B1841,Projetos!E:F,2,0),"")</f>
        <v>3</v>
      </c>
      <c r="E1841" s="22" t="s">
        <v>40</v>
      </c>
      <c r="F1841" s="71" t="s">
        <v>1028</v>
      </c>
      <c r="G1841" s="41" t="s">
        <v>66</v>
      </c>
      <c r="H1841" s="42">
        <v>45604</v>
      </c>
      <c r="I1841" s="43">
        <v>0.125</v>
      </c>
      <c r="J1841" s="35" t="s">
        <v>14</v>
      </c>
    </row>
    <row r="1842" spans="2:10">
      <c r="B1842" s="22" t="s">
        <v>156</v>
      </c>
      <c r="C1842" s="28">
        <f>IF(B1842&lt;&gt;"",VLOOKUP(B1842,Projetos!E:F,2,0),"")</f>
        <v>3</v>
      </c>
      <c r="E1842" s="22" t="s">
        <v>40</v>
      </c>
      <c r="F1842" s="71" t="s">
        <v>1028</v>
      </c>
      <c r="G1842" s="41" t="s">
        <v>66</v>
      </c>
      <c r="H1842" s="42">
        <v>45607</v>
      </c>
      <c r="I1842" s="43">
        <v>0.125</v>
      </c>
      <c r="J1842" s="35" t="s">
        <v>14</v>
      </c>
    </row>
    <row r="1843" spans="2:10">
      <c r="B1843" s="22" t="s">
        <v>968</v>
      </c>
      <c r="C1843" s="28">
        <f>IF(B1843&lt;&gt;"",VLOOKUP(B1843,Projetos!E:F,2,0),"")</f>
        <v>57</v>
      </c>
      <c r="E1843" s="22" t="s">
        <v>23</v>
      </c>
      <c r="F1843" s="82" t="s">
        <v>985</v>
      </c>
      <c r="G1843" s="41" t="s">
        <v>66</v>
      </c>
      <c r="H1843" s="42">
        <v>45607</v>
      </c>
      <c r="I1843" s="43">
        <v>0.125</v>
      </c>
      <c r="J1843" s="35" t="s">
        <v>14</v>
      </c>
    </row>
    <row r="1844" spans="2:10">
      <c r="B1844" s="22" t="s">
        <v>136</v>
      </c>
      <c r="C1844" s="28">
        <f>IF(B1844&lt;&gt;"",VLOOKUP(B1844,Projetos!E:F,2,0),"")</f>
        <v>25</v>
      </c>
      <c r="D1844" s="22" t="s">
        <v>40</v>
      </c>
      <c r="E1844" s="71" t="s">
        <v>40</v>
      </c>
      <c r="F1844" s="71" t="s">
        <v>1032</v>
      </c>
      <c r="G1844" s="41" t="s">
        <v>66</v>
      </c>
      <c r="H1844" s="42">
        <v>45608</v>
      </c>
      <c r="I1844" s="43">
        <v>0.125</v>
      </c>
      <c r="J1844" s="35" t="s">
        <v>14</v>
      </c>
    </row>
    <row r="1845" spans="2:10">
      <c r="B1845" s="22" t="s">
        <v>156</v>
      </c>
      <c r="C1845" s="28">
        <f>IF(B1845&lt;&gt;"",VLOOKUP(B1845,Projetos!E:F,2,0),"")</f>
        <v>3</v>
      </c>
      <c r="D1845" s="22" t="s">
        <v>40</v>
      </c>
      <c r="E1845" s="71" t="s">
        <v>40</v>
      </c>
      <c r="F1845" s="71" t="s">
        <v>1028</v>
      </c>
      <c r="G1845" s="41" t="s">
        <v>66</v>
      </c>
      <c r="H1845" s="42">
        <v>45608</v>
      </c>
      <c r="I1845" s="43">
        <v>0.125</v>
      </c>
      <c r="J1845" s="35" t="s">
        <v>14</v>
      </c>
    </row>
    <row r="1846" spans="2:10">
      <c r="B1846" s="22" t="s">
        <v>156</v>
      </c>
      <c r="C1846" s="28">
        <f>IF(B1846&lt;&gt;"",VLOOKUP(B1846,Projetos!E:F,2,0),"")</f>
        <v>3</v>
      </c>
      <c r="E1846" s="22" t="s">
        <v>40</v>
      </c>
      <c r="F1846" s="71" t="s">
        <v>1028</v>
      </c>
      <c r="G1846" s="41" t="s">
        <v>66</v>
      </c>
      <c r="H1846" s="42">
        <v>45609</v>
      </c>
      <c r="I1846" s="43">
        <v>0.125</v>
      </c>
      <c r="J1846" s="35" t="s">
        <v>14</v>
      </c>
    </row>
    <row r="1847" spans="2:10">
      <c r="B1847" s="22" t="s">
        <v>136</v>
      </c>
      <c r="C1847" s="28">
        <f>IF(B1847&lt;&gt;"",VLOOKUP(B1847,Projetos!E:F,2,0),"")</f>
        <v>25</v>
      </c>
      <c r="E1847" s="22" t="s">
        <v>40</v>
      </c>
      <c r="F1847" s="71" t="s">
        <v>1032</v>
      </c>
      <c r="G1847" s="41" t="s">
        <v>66</v>
      </c>
      <c r="H1847" s="42">
        <v>45609</v>
      </c>
      <c r="I1847" s="43">
        <v>0.125</v>
      </c>
      <c r="J1847" s="35" t="s">
        <v>14</v>
      </c>
    </row>
    <row r="1848" spans="2:10">
      <c r="B1848" s="22" t="s">
        <v>156</v>
      </c>
      <c r="C1848" s="28">
        <f>IF(B1848&lt;&gt;"",VLOOKUP(B1848,Projetos!E:F,2,0),"")</f>
        <v>3</v>
      </c>
      <c r="E1848" s="22" t="s">
        <v>40</v>
      </c>
      <c r="F1848" s="71" t="s">
        <v>1028</v>
      </c>
      <c r="G1848" s="41" t="s">
        <v>66</v>
      </c>
      <c r="H1848" s="42">
        <v>45610</v>
      </c>
      <c r="I1848" s="43">
        <v>0.125</v>
      </c>
      <c r="J1848" s="35" t="s">
        <v>14</v>
      </c>
    </row>
    <row r="1849" spans="2:10">
      <c r="B1849" s="22" t="s">
        <v>138</v>
      </c>
      <c r="C1849" s="28">
        <f>IF(B1849&lt;&gt;"",VLOOKUP(B1849,Projetos!E:F,2,0),"")</f>
        <v>30</v>
      </c>
      <c r="E1849" s="22" t="s">
        <v>23</v>
      </c>
      <c r="F1849" s="71" t="s">
        <v>1027</v>
      </c>
      <c r="G1849" s="41" t="s">
        <v>66</v>
      </c>
      <c r="H1849" s="42">
        <v>45610</v>
      </c>
      <c r="I1849" s="43">
        <v>0.125</v>
      </c>
      <c r="J1849" s="35" t="s">
        <v>14</v>
      </c>
    </row>
    <row r="1850" spans="2:10">
      <c r="B1850" s="22" t="s">
        <v>156</v>
      </c>
      <c r="C1850" s="28">
        <f>IF(B1850&lt;&gt;"",VLOOKUP(B1850,Projetos!E:F,2,0),"")</f>
        <v>3</v>
      </c>
      <c r="E1850" s="22" t="s">
        <v>40</v>
      </c>
      <c r="F1850" s="71" t="s">
        <v>1028</v>
      </c>
      <c r="G1850" s="41" t="s">
        <v>66</v>
      </c>
      <c r="H1850" s="42">
        <v>45611</v>
      </c>
      <c r="I1850" s="43">
        <v>0.125</v>
      </c>
      <c r="J1850" s="35" t="s">
        <v>14</v>
      </c>
    </row>
    <row r="1851" spans="2:10">
      <c r="B1851" s="22" t="s">
        <v>138</v>
      </c>
      <c r="C1851" s="28">
        <f>IF(B1851&lt;&gt;"",VLOOKUP(B1851,Projetos!E:F,2,0),"")</f>
        <v>30</v>
      </c>
      <c r="E1851" s="22" t="s">
        <v>23</v>
      </c>
      <c r="F1851" s="71" t="s">
        <v>1027</v>
      </c>
      <c r="G1851" s="41" t="s">
        <v>66</v>
      </c>
      <c r="H1851" s="42">
        <v>45611</v>
      </c>
      <c r="I1851" s="43">
        <v>0.125</v>
      </c>
      <c r="J1851" s="35" t="s">
        <v>14</v>
      </c>
    </row>
    <row r="1852" spans="2:10">
      <c r="B1852" s="22" t="s">
        <v>156</v>
      </c>
      <c r="C1852" s="28">
        <f>IF(B1852&lt;&gt;"",VLOOKUP(B1852,Projetos!E:F,2,0),"")</f>
        <v>3</v>
      </c>
      <c r="E1852" s="22" t="s">
        <v>40</v>
      </c>
      <c r="F1852" s="71" t="s">
        <v>1028</v>
      </c>
      <c r="G1852" s="41" t="s">
        <v>66</v>
      </c>
      <c r="H1852" s="42">
        <v>45614</v>
      </c>
      <c r="I1852" s="43">
        <v>0.125</v>
      </c>
      <c r="J1852" s="35" t="s">
        <v>14</v>
      </c>
    </row>
    <row r="1853" spans="2:10">
      <c r="B1853" s="22" t="s">
        <v>156</v>
      </c>
      <c r="C1853" s="28">
        <f>IF(B1853&lt;&gt;"",VLOOKUP(B1853,Projetos!E:F,2,0),"")</f>
        <v>3</v>
      </c>
      <c r="E1853" s="22" t="s">
        <v>40</v>
      </c>
      <c r="F1853" s="71" t="s">
        <v>1028</v>
      </c>
      <c r="G1853" s="41" t="s">
        <v>66</v>
      </c>
      <c r="H1853" s="42">
        <v>45614</v>
      </c>
      <c r="I1853" s="43">
        <v>0.125</v>
      </c>
      <c r="J1853" s="35" t="s">
        <v>14</v>
      </c>
    </row>
    <row r="1854" spans="2:10">
      <c r="B1854" s="22" t="s">
        <v>136</v>
      </c>
      <c r="C1854" s="28">
        <f>IF(B1854&lt;&gt;"",VLOOKUP(B1854,Projetos!E:F,2,0),"")</f>
        <v>25</v>
      </c>
      <c r="E1854" s="22" t="s">
        <v>40</v>
      </c>
      <c r="F1854" s="71" t="s">
        <v>1032</v>
      </c>
      <c r="G1854" s="41" t="s">
        <v>66</v>
      </c>
      <c r="H1854" s="42">
        <v>45615</v>
      </c>
      <c r="I1854" s="43">
        <v>0.125</v>
      </c>
      <c r="J1854" s="35" t="s">
        <v>14</v>
      </c>
    </row>
    <row r="1855" spans="2:10">
      <c r="B1855" s="22" t="s">
        <v>156</v>
      </c>
      <c r="C1855" s="28">
        <f>IF(B1855&lt;&gt;"",VLOOKUP(B1855,Projetos!E:F,2,0),"")</f>
        <v>3</v>
      </c>
      <c r="E1855" s="22" t="s">
        <v>40</v>
      </c>
      <c r="F1855" s="71" t="s">
        <v>1028</v>
      </c>
      <c r="G1855" s="41" t="s">
        <v>66</v>
      </c>
      <c r="H1855" s="42">
        <v>45615</v>
      </c>
      <c r="I1855" s="43">
        <v>0.125</v>
      </c>
      <c r="J1855" s="35" t="s">
        <v>14</v>
      </c>
    </row>
    <row r="1856" spans="2:10">
      <c r="B1856" s="22" t="s">
        <v>156</v>
      </c>
      <c r="C1856" s="28">
        <f>IF(B1856&lt;&gt;"",VLOOKUP(B1856,Projetos!E:F,2,0),"")</f>
        <v>3</v>
      </c>
      <c r="E1856" s="22" t="s">
        <v>40</v>
      </c>
      <c r="F1856" s="71" t="s">
        <v>1028</v>
      </c>
      <c r="G1856" s="41" t="s">
        <v>66</v>
      </c>
      <c r="H1856" s="42">
        <v>45616</v>
      </c>
      <c r="I1856" s="43">
        <v>0.125</v>
      </c>
      <c r="J1856" s="35" t="s">
        <v>14</v>
      </c>
    </row>
    <row r="1857" spans="2:10">
      <c r="B1857" s="22" t="s">
        <v>156</v>
      </c>
      <c r="C1857" s="28">
        <f>IF(B1857&lt;&gt;"",VLOOKUP(B1857,Projetos!E:F,2,0),"")</f>
        <v>3</v>
      </c>
      <c r="E1857" s="22" t="s">
        <v>40</v>
      </c>
      <c r="F1857" s="71" t="s">
        <v>1028</v>
      </c>
      <c r="G1857" s="41" t="s">
        <v>66</v>
      </c>
      <c r="H1857" s="42">
        <v>45616</v>
      </c>
      <c r="I1857" s="43">
        <v>0.125</v>
      </c>
      <c r="J1857" s="35" t="s">
        <v>14</v>
      </c>
    </row>
    <row r="1858" spans="2:10">
      <c r="B1858" s="22" t="s">
        <v>156</v>
      </c>
      <c r="C1858" s="28">
        <f>IF(B1858&lt;&gt;"",VLOOKUP(B1858,Projetos!E:F,2,0),"")</f>
        <v>3</v>
      </c>
      <c r="E1858" s="22" t="s">
        <v>40</v>
      </c>
      <c r="F1858" s="71" t="s">
        <v>1028</v>
      </c>
      <c r="G1858" s="41" t="s">
        <v>66</v>
      </c>
      <c r="H1858" s="42">
        <v>45617</v>
      </c>
      <c r="I1858" s="43">
        <v>0.25</v>
      </c>
      <c r="J1858" s="35" t="s">
        <v>14</v>
      </c>
    </row>
    <row r="1859" spans="2:10">
      <c r="B1859" s="22" t="s">
        <v>136</v>
      </c>
      <c r="C1859" s="28">
        <f>IF(B1859&lt;&gt;"",VLOOKUP(B1859,Projetos!E:F,2,0),"")</f>
        <v>25</v>
      </c>
      <c r="E1859" s="22" t="s">
        <v>40</v>
      </c>
      <c r="F1859" s="71" t="s">
        <v>1032</v>
      </c>
      <c r="G1859" s="41" t="s">
        <v>66</v>
      </c>
      <c r="H1859" s="42">
        <v>45618</v>
      </c>
      <c r="I1859" s="43">
        <v>0.25</v>
      </c>
      <c r="J1859" s="35" t="s">
        <v>14</v>
      </c>
    </row>
    <row r="1860" spans="2:10">
      <c r="B1860" s="22" t="s">
        <v>156</v>
      </c>
      <c r="C1860" s="28">
        <f>IF(B1860&lt;&gt;"",VLOOKUP(B1860,Projetos!E:F,2,0),"")</f>
        <v>3</v>
      </c>
      <c r="E1860" s="22" t="s">
        <v>40</v>
      </c>
      <c r="F1860" s="71" t="s">
        <v>1028</v>
      </c>
      <c r="G1860" s="41" t="s">
        <v>66</v>
      </c>
      <c r="H1860" s="42">
        <v>45621</v>
      </c>
      <c r="I1860" s="43">
        <v>0.25</v>
      </c>
      <c r="J1860" s="35" t="s">
        <v>14</v>
      </c>
    </row>
    <row r="1861" spans="2:10">
      <c r="B1861" s="22" t="s">
        <v>136</v>
      </c>
      <c r="C1861" s="28">
        <f>IF(B1861&lt;&gt;"",VLOOKUP(B1861,Projetos!E:F,2,0),"")</f>
        <v>25</v>
      </c>
      <c r="E1861" s="22" t="s">
        <v>40</v>
      </c>
      <c r="F1861" s="71" t="s">
        <v>1032</v>
      </c>
      <c r="G1861" s="41" t="s">
        <v>66</v>
      </c>
      <c r="H1861" s="42">
        <v>45622</v>
      </c>
      <c r="I1861" s="43">
        <v>0.125</v>
      </c>
      <c r="J1861" s="35" t="s">
        <v>14</v>
      </c>
    </row>
    <row r="1862" spans="2:10">
      <c r="B1862" s="22" t="s">
        <v>156</v>
      </c>
      <c r="C1862" s="28">
        <f>IF(B1862&lt;&gt;"",VLOOKUP(B1862,Projetos!E:F,2,0),"")</f>
        <v>3</v>
      </c>
      <c r="E1862" s="22" t="s">
        <v>40</v>
      </c>
      <c r="F1862" s="71" t="s">
        <v>1033</v>
      </c>
      <c r="G1862" s="41" t="s">
        <v>66</v>
      </c>
      <c r="H1862" s="42">
        <v>45622</v>
      </c>
      <c r="I1862" s="43">
        <v>0.125</v>
      </c>
      <c r="J1862" s="35" t="s">
        <v>14</v>
      </c>
    </row>
    <row r="1863" spans="2:10">
      <c r="B1863" s="22" t="s">
        <v>136</v>
      </c>
      <c r="C1863" s="28">
        <f>IF(B1863&lt;&gt;"",VLOOKUP(B1863,Projetos!E:F,2,0),"")</f>
        <v>25</v>
      </c>
      <c r="E1863" s="22" t="s">
        <v>40</v>
      </c>
      <c r="F1863" s="71" t="s">
        <v>1032</v>
      </c>
      <c r="G1863" s="41" t="s">
        <v>66</v>
      </c>
      <c r="H1863" s="42">
        <v>45623</v>
      </c>
      <c r="I1863" s="43">
        <v>0.125</v>
      </c>
      <c r="J1863" s="35" t="s">
        <v>14</v>
      </c>
    </row>
    <row r="1864" spans="2:10">
      <c r="B1864" s="22" t="s">
        <v>136</v>
      </c>
      <c r="C1864" s="28">
        <f>IF(B1864&lt;&gt;"",VLOOKUP(B1864,Projetos!E:F,2,0),"")</f>
        <v>25</v>
      </c>
      <c r="E1864" s="22" t="s">
        <v>40</v>
      </c>
      <c r="F1864" s="71" t="s">
        <v>1032</v>
      </c>
      <c r="G1864" s="41" t="s">
        <v>66</v>
      </c>
      <c r="H1864" s="42">
        <v>45623</v>
      </c>
      <c r="I1864" s="43">
        <v>0.125</v>
      </c>
      <c r="J1864" s="35" t="s">
        <v>14</v>
      </c>
    </row>
    <row r="1865" spans="2:10">
      <c r="B1865" s="22" t="s">
        <v>156</v>
      </c>
      <c r="C1865" s="28">
        <f>IF(B1865&lt;&gt;"",VLOOKUP(B1865,Projetos!E:F,2,0),"")</f>
        <v>3</v>
      </c>
      <c r="E1865" s="22" t="s">
        <v>40</v>
      </c>
      <c r="F1865" s="71" t="s">
        <v>1033</v>
      </c>
      <c r="G1865" s="41" t="s">
        <v>66</v>
      </c>
      <c r="H1865" s="42">
        <v>45624</v>
      </c>
      <c r="I1865" s="43">
        <v>0.125</v>
      </c>
      <c r="J1865" s="35" t="s">
        <v>14</v>
      </c>
    </row>
    <row r="1866" spans="2:10">
      <c r="B1866" s="22" t="s">
        <v>136</v>
      </c>
      <c r="C1866" s="28">
        <f>IF(B1866&lt;&gt;"",VLOOKUP(B1866,Projetos!E:F,2,0),"")</f>
        <v>25</v>
      </c>
      <c r="E1866" s="22" t="s">
        <v>40</v>
      </c>
      <c r="F1866" s="71" t="s">
        <v>1032</v>
      </c>
      <c r="G1866" s="41" t="s">
        <v>66</v>
      </c>
      <c r="H1866" s="42">
        <v>45624</v>
      </c>
      <c r="I1866" s="43">
        <v>0.125</v>
      </c>
      <c r="J1866" s="35" t="s">
        <v>14</v>
      </c>
    </row>
    <row r="1867" spans="2:10">
      <c r="B1867" s="22" t="s">
        <v>156</v>
      </c>
      <c r="C1867" s="28">
        <f>IF(B1867&lt;&gt;"",VLOOKUP(B1867,Projetos!E:F,2,0),"")</f>
        <v>3</v>
      </c>
      <c r="E1867" s="22" t="s">
        <v>40</v>
      </c>
      <c r="F1867" s="71" t="s">
        <v>1033</v>
      </c>
      <c r="G1867" s="41" t="s">
        <v>66</v>
      </c>
      <c r="H1867" s="42">
        <v>45625</v>
      </c>
      <c r="I1867" s="43">
        <v>0.25</v>
      </c>
      <c r="J1867" s="35" t="s">
        <v>14</v>
      </c>
    </row>
    <row r="1868" spans="2:10">
      <c r="B1868" s="22" t="s">
        <v>156</v>
      </c>
      <c r="C1868" s="28">
        <f>IF(B1868&lt;&gt;"",VLOOKUP(B1868,Projetos!E:F,2,0),"")</f>
        <v>3</v>
      </c>
      <c r="E1868" s="22" t="s">
        <v>40</v>
      </c>
      <c r="F1868" s="71" t="s">
        <v>1031</v>
      </c>
      <c r="G1868" s="41" t="s">
        <v>528</v>
      </c>
      <c r="H1868" s="42">
        <v>45628</v>
      </c>
      <c r="I1868" s="43">
        <v>0.20833333333333334</v>
      </c>
      <c r="J1868" s="35" t="s">
        <v>14</v>
      </c>
    </row>
    <row r="1869" spans="2:10">
      <c r="B1869" s="22" t="s">
        <v>156</v>
      </c>
      <c r="C1869" s="28">
        <f>IF(B1869&lt;&gt;"",VLOOKUP(B1869,Projetos!E:F,2,0),"")</f>
        <v>3</v>
      </c>
      <c r="E1869" s="22" t="s">
        <v>40</v>
      </c>
      <c r="F1869" s="71" t="s">
        <v>1034</v>
      </c>
      <c r="G1869" s="41" t="s">
        <v>525</v>
      </c>
      <c r="H1869" s="42">
        <v>45629</v>
      </c>
      <c r="I1869" s="43">
        <v>0.25</v>
      </c>
      <c r="J1869" s="35" t="s">
        <v>14</v>
      </c>
    </row>
    <row r="1870" spans="2:10" ht="30">
      <c r="B1870" s="22" t="s">
        <v>138</v>
      </c>
      <c r="C1870" s="28">
        <f>IF(B1870&lt;&gt;"",VLOOKUP(B1870,Projetos!E:F,2,0),"")</f>
        <v>30</v>
      </c>
      <c r="E1870" s="22" t="s">
        <v>26</v>
      </c>
      <c r="F1870" s="71" t="s">
        <v>1035</v>
      </c>
      <c r="G1870" s="41" t="s">
        <v>34</v>
      </c>
      <c r="H1870" s="42">
        <v>45621</v>
      </c>
      <c r="I1870" s="43">
        <v>0.33333333333333331</v>
      </c>
      <c r="J1870" s="35" t="s">
        <v>14</v>
      </c>
    </row>
    <row r="1871" spans="2:10" ht="30">
      <c r="B1871" s="22" t="s">
        <v>138</v>
      </c>
      <c r="C1871" s="28">
        <f>IF(B1871&lt;&gt;"",VLOOKUP(B1871,Projetos!E:F,2,0),"")</f>
        <v>30</v>
      </c>
      <c r="E1871" s="22" t="s">
        <v>26</v>
      </c>
      <c r="F1871" s="71" t="s">
        <v>1035</v>
      </c>
      <c r="G1871" s="41" t="s">
        <v>34</v>
      </c>
      <c r="H1871" s="42">
        <v>45622</v>
      </c>
      <c r="I1871" s="43">
        <v>0.33333333333333331</v>
      </c>
      <c r="J1871" s="35" t="s">
        <v>14</v>
      </c>
    </row>
    <row r="1872" spans="2:10" ht="30">
      <c r="B1872" s="22" t="s">
        <v>138</v>
      </c>
      <c r="C1872" s="28">
        <f>IF(B1872&lt;&gt;"",VLOOKUP(B1872,Projetos!E:F,2,0),"")</f>
        <v>30</v>
      </c>
      <c r="E1872" s="22" t="s">
        <v>26</v>
      </c>
      <c r="F1872" s="71" t="s">
        <v>1035</v>
      </c>
      <c r="G1872" s="41" t="s">
        <v>34</v>
      </c>
      <c r="H1872" s="42">
        <v>45623</v>
      </c>
      <c r="I1872" s="43">
        <v>0.33333333333333331</v>
      </c>
      <c r="J1872" s="35" t="s">
        <v>14</v>
      </c>
    </row>
    <row r="1873" spans="2:10" ht="30">
      <c r="B1873" s="22" t="s">
        <v>138</v>
      </c>
      <c r="C1873" s="28">
        <f>IF(B1873&lt;&gt;"",VLOOKUP(B1873,Projetos!E:F,2,0),"")</f>
        <v>30</v>
      </c>
      <c r="E1873" s="22" t="s">
        <v>26</v>
      </c>
      <c r="F1873" s="71" t="s">
        <v>1035</v>
      </c>
      <c r="G1873" s="41" t="s">
        <v>34</v>
      </c>
      <c r="H1873" s="42">
        <v>45624</v>
      </c>
      <c r="I1873" s="43">
        <v>0.33333333333333331</v>
      </c>
      <c r="J1873" s="35" t="s">
        <v>14</v>
      </c>
    </row>
    <row r="1874" spans="2:10" ht="30">
      <c r="B1874" s="22" t="s">
        <v>138</v>
      </c>
      <c r="C1874" s="28">
        <f>IF(B1874&lt;&gt;"",VLOOKUP(B1874,Projetos!E:F,2,0),"")</f>
        <v>30</v>
      </c>
      <c r="E1874" s="22" t="s">
        <v>26</v>
      </c>
      <c r="F1874" s="71" t="s">
        <v>1035</v>
      </c>
      <c r="G1874" s="41" t="s">
        <v>34</v>
      </c>
      <c r="H1874" s="42">
        <v>45625</v>
      </c>
      <c r="I1874" s="43">
        <v>0.33333333333333331</v>
      </c>
      <c r="J1874" s="35" t="s">
        <v>14</v>
      </c>
    </row>
    <row r="1875" spans="2:10" ht="30">
      <c r="B1875" s="22" t="s">
        <v>138</v>
      </c>
      <c r="C1875" s="28">
        <f>IF(B1875&lt;&gt;"",VLOOKUP(B1875,Projetos!E:F,2,0),"")</f>
        <v>30</v>
      </c>
      <c r="E1875" s="22" t="s">
        <v>26</v>
      </c>
      <c r="F1875" s="71" t="s">
        <v>1035</v>
      </c>
      <c r="G1875" s="41" t="s">
        <v>34</v>
      </c>
      <c r="H1875" s="42">
        <v>45628</v>
      </c>
      <c r="I1875" s="43">
        <v>0.33333333333333331</v>
      </c>
      <c r="J1875" s="35" t="s">
        <v>14</v>
      </c>
    </row>
    <row r="1876" spans="2:10" ht="30">
      <c r="B1876" s="22" t="s">
        <v>138</v>
      </c>
      <c r="C1876" s="28">
        <f>IF(B1876&lt;&gt;"",VLOOKUP(B1876,Projetos!E:F,2,0),"")</f>
        <v>30</v>
      </c>
      <c r="E1876" s="22" t="s">
        <v>26</v>
      </c>
      <c r="F1876" s="71" t="s">
        <v>1035</v>
      </c>
      <c r="G1876" s="41" t="s">
        <v>34</v>
      </c>
      <c r="H1876" s="42">
        <v>45629</v>
      </c>
      <c r="I1876" s="43">
        <v>0.33333333333333331</v>
      </c>
      <c r="J1876" s="35" t="s">
        <v>14</v>
      </c>
    </row>
    <row r="1877" spans="2:10">
      <c r="B1877" s="22" t="s">
        <v>156</v>
      </c>
      <c r="C1877" s="28">
        <f>IF(B1877&lt;&gt;"",VLOOKUP(B1877,Projetos!E:F,2,0),"")</f>
        <v>3</v>
      </c>
      <c r="E1877" s="22" t="s">
        <v>40</v>
      </c>
      <c r="F1877" s="71" t="s">
        <v>1036</v>
      </c>
      <c r="G1877" s="41" t="s">
        <v>528</v>
      </c>
      <c r="H1877" s="42">
        <v>45630</v>
      </c>
      <c r="I1877" s="43">
        <v>0.20833333333333334</v>
      </c>
      <c r="J1877" s="35" t="s">
        <v>14</v>
      </c>
    </row>
    <row r="1878" spans="2:10" ht="30">
      <c r="B1878" s="22" t="s">
        <v>138</v>
      </c>
      <c r="C1878" s="28">
        <f>IF(B1878&lt;&gt;"",VLOOKUP(B1878,Projetos!E:F,2,0),"")</f>
        <v>30</v>
      </c>
      <c r="E1878" s="22" t="s">
        <v>26</v>
      </c>
      <c r="F1878" s="71" t="s">
        <v>1037</v>
      </c>
      <c r="G1878" s="41" t="s">
        <v>34</v>
      </c>
      <c r="H1878" s="42">
        <v>45630</v>
      </c>
      <c r="I1878" s="43">
        <v>0.33333333333333331</v>
      </c>
      <c r="J1878" s="35" t="s">
        <v>14</v>
      </c>
    </row>
    <row r="1879" spans="2:10" ht="30">
      <c r="B1879" s="22" t="s">
        <v>138</v>
      </c>
      <c r="C1879" s="28">
        <f>IF(B1879&lt;&gt;"",VLOOKUP(B1879,Projetos!E:F,2,0),"")</f>
        <v>30</v>
      </c>
      <c r="E1879" s="22" t="s">
        <v>26</v>
      </c>
      <c r="F1879" s="71" t="s">
        <v>1037</v>
      </c>
      <c r="G1879" s="41" t="s">
        <v>34</v>
      </c>
      <c r="H1879" s="42">
        <v>45631</v>
      </c>
      <c r="I1879" s="43">
        <v>0.33333333333333331</v>
      </c>
      <c r="J1879" s="35" t="s">
        <v>14</v>
      </c>
    </row>
    <row r="1880" spans="2:10" ht="30">
      <c r="B1880" s="22" t="s">
        <v>138</v>
      </c>
      <c r="C1880" s="28">
        <f>IF(B1880&lt;&gt;"",VLOOKUP(B1880,Projetos!E:F,2,0),"")</f>
        <v>30</v>
      </c>
      <c r="E1880" s="22" t="s">
        <v>26</v>
      </c>
      <c r="F1880" s="71" t="s">
        <v>1037</v>
      </c>
      <c r="G1880" s="41" t="s">
        <v>34</v>
      </c>
      <c r="H1880" s="42">
        <v>45632</v>
      </c>
      <c r="I1880" s="43">
        <v>0.33333333333333331</v>
      </c>
      <c r="J1880" s="35" t="s">
        <v>14</v>
      </c>
    </row>
    <row r="1881" spans="2:10">
      <c r="B1881" s="22" t="s">
        <v>156</v>
      </c>
      <c r="C1881" s="28">
        <f>IF(B1881&lt;&gt;"",VLOOKUP(B1881,Projetos!E:F,2,0),"")</f>
        <v>3</v>
      </c>
      <c r="E1881" s="22" t="s">
        <v>247</v>
      </c>
      <c r="F1881" s="71" t="s">
        <v>1038</v>
      </c>
      <c r="G1881" s="41" t="s">
        <v>528</v>
      </c>
      <c r="H1881" s="42">
        <v>45632</v>
      </c>
      <c r="I1881" s="43">
        <v>0.20833333333333334</v>
      </c>
      <c r="J1881" s="35" t="s">
        <v>14</v>
      </c>
    </row>
    <row r="1882" spans="2:10">
      <c r="B1882" s="22" t="s">
        <v>156</v>
      </c>
      <c r="C1882" s="28">
        <f>IF(B1882&lt;&gt;"",VLOOKUP(B1882,Projetos!E:F,2,0),"")</f>
        <v>3</v>
      </c>
      <c r="E1882" s="22" t="s">
        <v>247</v>
      </c>
      <c r="F1882" s="71" t="s">
        <v>1038</v>
      </c>
      <c r="G1882" s="41" t="s">
        <v>525</v>
      </c>
      <c r="H1882" s="42">
        <v>45632</v>
      </c>
      <c r="I1882" s="43">
        <v>0.25</v>
      </c>
      <c r="J1882" s="35" t="s">
        <v>14</v>
      </c>
    </row>
    <row r="1883" spans="2:10">
      <c r="B1883" s="22" t="s">
        <v>156</v>
      </c>
      <c r="C1883" s="28">
        <f>IF(B1883&lt;&gt;"",VLOOKUP(B1883,Projetos!E:F,2,0),"")</f>
        <v>3</v>
      </c>
      <c r="E1883" s="22" t="s">
        <v>40</v>
      </c>
      <c r="F1883" s="71" t="s">
        <v>1039</v>
      </c>
      <c r="G1883" s="41" t="s">
        <v>525</v>
      </c>
      <c r="H1883" s="42">
        <v>45635</v>
      </c>
      <c r="I1883" s="43">
        <v>0.25</v>
      </c>
      <c r="J1883" s="35" t="s">
        <v>14</v>
      </c>
    </row>
    <row r="1884" spans="2:10">
      <c r="B1884" s="22" t="s">
        <v>138</v>
      </c>
      <c r="C1884" s="28">
        <f>IF(B1884&lt;&gt;"",VLOOKUP(B1884,Projetos!E:F,2,0),"")</f>
        <v>30</v>
      </c>
      <c r="E1884" s="22" t="s">
        <v>16</v>
      </c>
      <c r="F1884" s="71" t="s">
        <v>1040</v>
      </c>
      <c r="G1884" s="41" t="s">
        <v>525</v>
      </c>
      <c r="H1884" s="42">
        <v>45630</v>
      </c>
      <c r="I1884" s="43">
        <v>0.25</v>
      </c>
      <c r="J1884" s="35" t="s">
        <v>14</v>
      </c>
    </row>
    <row r="1885" spans="2:10">
      <c r="B1885" s="22" t="s">
        <v>138</v>
      </c>
      <c r="C1885" s="28">
        <f>IF(B1885&lt;&gt;"",VLOOKUP(B1885,Projetos!E:F,2,0),"")</f>
        <v>30</v>
      </c>
      <c r="E1885" s="22" t="s">
        <v>16</v>
      </c>
      <c r="F1885" s="71" t="s">
        <v>1040</v>
      </c>
      <c r="G1885" s="41" t="s">
        <v>525</v>
      </c>
      <c r="H1885" s="42">
        <v>45631</v>
      </c>
      <c r="I1885" s="43">
        <v>0.25</v>
      </c>
      <c r="J1885" s="35" t="s">
        <v>14</v>
      </c>
    </row>
    <row r="1886" spans="2:10">
      <c r="B1886" s="22" t="s">
        <v>156</v>
      </c>
      <c r="C1886" s="28">
        <f>IF(B1886&lt;&gt;"",VLOOKUP(B1886,Projetos!E:F,2,0),"")</f>
        <v>3</v>
      </c>
      <c r="E1886" s="22" t="s">
        <v>40</v>
      </c>
      <c r="F1886" s="71" t="s">
        <v>1039</v>
      </c>
      <c r="G1886" s="41" t="s">
        <v>528</v>
      </c>
      <c r="H1886" s="42">
        <v>45635</v>
      </c>
      <c r="I1886" s="43">
        <v>0.20833333333333334</v>
      </c>
      <c r="J1886" s="35" t="s">
        <v>14</v>
      </c>
    </row>
    <row r="1887" spans="2:10" ht="30">
      <c r="B1887" s="22" t="s">
        <v>138</v>
      </c>
      <c r="C1887" s="28">
        <f>IF(B1887&lt;&gt;"",VLOOKUP(B1887,Projetos!E:F,2,0),"")</f>
        <v>30</v>
      </c>
      <c r="E1887" s="22" t="s">
        <v>26</v>
      </c>
      <c r="F1887" s="71" t="s">
        <v>1037</v>
      </c>
      <c r="G1887" s="41" t="s">
        <v>34</v>
      </c>
      <c r="H1887" s="42">
        <v>45635</v>
      </c>
      <c r="I1887" s="43">
        <v>0.33333333333333331</v>
      </c>
      <c r="J1887" s="35" t="s">
        <v>14</v>
      </c>
    </row>
    <row r="1888" spans="2:10">
      <c r="B1888" s="22" t="s">
        <v>192</v>
      </c>
      <c r="C1888" s="28">
        <f>IF(B1888&lt;&gt;"",VLOOKUP(B1888,Projetos!E:F,2,0),"")</f>
        <v>32</v>
      </c>
      <c r="E1888" s="22" t="s">
        <v>193</v>
      </c>
      <c r="F1888" s="71" t="s">
        <v>1041</v>
      </c>
      <c r="G1888" s="41" t="s">
        <v>525</v>
      </c>
      <c r="H1888" s="42">
        <v>45636</v>
      </c>
      <c r="I1888" s="43">
        <v>0.25</v>
      </c>
      <c r="J1888" s="35" t="s">
        <v>14</v>
      </c>
    </row>
    <row r="1889" spans="2:10">
      <c r="B1889" s="22" t="s">
        <v>192</v>
      </c>
      <c r="C1889" s="28">
        <f>IF(B1889&lt;&gt;"",VLOOKUP(B1889,Projetos!E:F,2,0),"")</f>
        <v>32</v>
      </c>
      <c r="E1889" s="22" t="s">
        <v>193</v>
      </c>
      <c r="F1889" s="71" t="s">
        <v>1041</v>
      </c>
      <c r="G1889" s="41" t="s">
        <v>528</v>
      </c>
      <c r="H1889" s="42">
        <v>45636</v>
      </c>
      <c r="I1889" s="43">
        <v>0.20833333333333334</v>
      </c>
      <c r="J1889" s="35" t="s">
        <v>14</v>
      </c>
    </row>
    <row r="1890" spans="2:10" ht="30">
      <c r="B1890" s="22" t="s">
        <v>138</v>
      </c>
      <c r="C1890" s="28">
        <f>IF(B1890&lt;&gt;"",VLOOKUP(B1890,Projetos!E:F,2,0),"")</f>
        <v>30</v>
      </c>
      <c r="E1890" s="22" t="s">
        <v>16</v>
      </c>
      <c r="F1890" s="71" t="s">
        <v>1042</v>
      </c>
      <c r="G1890" s="41" t="s">
        <v>34</v>
      </c>
      <c r="H1890" s="42">
        <v>45636</v>
      </c>
      <c r="I1890" s="43">
        <v>0.33333333333333331</v>
      </c>
      <c r="J1890" s="35" t="s">
        <v>14</v>
      </c>
    </row>
    <row r="1891" spans="2:10">
      <c r="B1891" s="22" t="s">
        <v>156</v>
      </c>
      <c r="C1891" s="28">
        <f>IF(B1891&lt;&gt;"",VLOOKUP(B1891,Projetos!E:F,2,0),"")</f>
        <v>3</v>
      </c>
      <c r="E1891" s="22" t="s">
        <v>23</v>
      </c>
      <c r="F1891" s="71" t="s">
        <v>1043</v>
      </c>
      <c r="G1891" s="41" t="s">
        <v>525</v>
      </c>
      <c r="H1891" s="42">
        <v>45637</v>
      </c>
      <c r="I1891" s="43">
        <v>0.25</v>
      </c>
      <c r="J1891" s="35" t="s">
        <v>14</v>
      </c>
    </row>
    <row r="1892" spans="2:10" ht="30">
      <c r="B1892" s="22" t="s">
        <v>192</v>
      </c>
      <c r="C1892" s="28">
        <f>IF(B1892&lt;&gt;"",VLOOKUP(B1892,Projetos!E:F,2,0),"")</f>
        <v>32</v>
      </c>
      <c r="E1892" s="22" t="s">
        <v>193</v>
      </c>
      <c r="F1892" s="71" t="s">
        <v>1044</v>
      </c>
      <c r="G1892" s="41" t="s">
        <v>528</v>
      </c>
      <c r="H1892" s="42">
        <v>45637</v>
      </c>
      <c r="I1892" s="43">
        <v>0.20833333333333334</v>
      </c>
      <c r="J1892" s="35" t="s">
        <v>14</v>
      </c>
    </row>
    <row r="1893" spans="2:10" ht="30">
      <c r="B1893" s="22" t="s">
        <v>192</v>
      </c>
      <c r="C1893" s="28">
        <f>IF(B1895&lt;&gt;"",VLOOKUP(B1895,Projetos!E:F,2,0),"")</f>
        <v>32</v>
      </c>
      <c r="E1893" s="22" t="s">
        <v>193</v>
      </c>
      <c r="F1893" s="71" t="s">
        <v>1044</v>
      </c>
      <c r="G1893" s="41" t="s">
        <v>525</v>
      </c>
      <c r="H1893" s="42">
        <v>45638</v>
      </c>
      <c r="I1893" s="43">
        <v>0.25</v>
      </c>
      <c r="J1893" s="35" t="s">
        <v>14</v>
      </c>
    </row>
    <row r="1894" spans="2:10">
      <c r="B1894" s="22" t="s">
        <v>61</v>
      </c>
      <c r="C1894" s="28">
        <f>IF(B1894&lt;&gt;"",VLOOKUP(B1894,Projetos!E:F,2,0),"")</f>
        <v>11</v>
      </c>
      <c r="E1894" s="22" t="s">
        <v>21</v>
      </c>
      <c r="F1894" s="71" t="s">
        <v>1045</v>
      </c>
      <c r="G1894" s="41" t="s">
        <v>528</v>
      </c>
      <c r="H1894" s="42">
        <v>45638</v>
      </c>
      <c r="I1894" s="43">
        <v>0.20833333333333334</v>
      </c>
      <c r="J1894" s="35" t="s">
        <v>14</v>
      </c>
    </row>
    <row r="1895" spans="2:10" ht="30">
      <c r="B1895" s="22" t="s">
        <v>192</v>
      </c>
      <c r="C1895" s="28">
        <f>IF(B1897&lt;&gt;"",VLOOKUP(B1897,Projetos!E:F,2,0),"")</f>
        <v>34</v>
      </c>
      <c r="E1895" s="22" t="s">
        <v>193</v>
      </c>
      <c r="F1895" s="71" t="s">
        <v>1044</v>
      </c>
      <c r="G1895" s="41" t="s">
        <v>525</v>
      </c>
      <c r="H1895" s="42">
        <v>45639</v>
      </c>
      <c r="I1895" s="43">
        <v>0.25</v>
      </c>
      <c r="J1895" s="35" t="s">
        <v>14</v>
      </c>
    </row>
    <row r="1896" spans="2:10">
      <c r="B1896" s="22" t="s">
        <v>192</v>
      </c>
      <c r="C1896" s="28">
        <f>IF(B1896&lt;&gt;"",VLOOKUP(B1896,Projetos!E:F,2,0),"")</f>
        <v>32</v>
      </c>
      <c r="E1896" s="22" t="s">
        <v>193</v>
      </c>
      <c r="F1896" s="71" t="s">
        <v>1046</v>
      </c>
      <c r="G1896" s="41" t="s">
        <v>528</v>
      </c>
      <c r="H1896" s="42">
        <v>45639</v>
      </c>
      <c r="I1896" s="43">
        <v>0.20833333333333334</v>
      </c>
      <c r="J1896" s="35" t="s">
        <v>14</v>
      </c>
    </row>
    <row r="1897" spans="2:10">
      <c r="B1897" s="22" t="s">
        <v>205</v>
      </c>
      <c r="C1897" s="28">
        <f>IF(B1897&lt;&gt;"",VLOOKUP(B1897,Projetos!E:F,2,0),"")</f>
        <v>34</v>
      </c>
      <c r="E1897" s="22" t="s">
        <v>40</v>
      </c>
      <c r="F1897" s="71" t="s">
        <v>1047</v>
      </c>
      <c r="G1897" s="41" t="s">
        <v>525</v>
      </c>
      <c r="H1897" s="42">
        <v>45642</v>
      </c>
      <c r="I1897" s="43">
        <v>0.25</v>
      </c>
      <c r="J1897" s="35" t="s">
        <v>14</v>
      </c>
    </row>
    <row r="1898" spans="2:10">
      <c r="B1898" s="22" t="s">
        <v>231</v>
      </c>
      <c r="C1898" s="28">
        <f>IF(B1898&lt;&gt;"",VLOOKUP(B1898,Projetos!E:F,2,0),"")</f>
        <v>35</v>
      </c>
      <c r="E1898" s="22" t="s">
        <v>40</v>
      </c>
      <c r="F1898" s="71" t="s">
        <v>1047</v>
      </c>
      <c r="G1898" s="41" t="s">
        <v>528</v>
      </c>
      <c r="H1898" s="42">
        <v>45642</v>
      </c>
      <c r="I1898" s="43">
        <v>0.20833333333333334</v>
      </c>
      <c r="J1898" s="35" t="s">
        <v>14</v>
      </c>
    </row>
    <row r="1899" spans="2:10">
      <c r="B1899" s="22" t="s">
        <v>205</v>
      </c>
      <c r="C1899" s="28">
        <f>IF(B1899&lt;&gt;"",VLOOKUP(B1899,Projetos!E:F,2,0),"")</f>
        <v>34</v>
      </c>
      <c r="E1899" s="22" t="s">
        <v>40</v>
      </c>
      <c r="F1899" s="71" t="s">
        <v>1048</v>
      </c>
      <c r="G1899" s="41" t="s">
        <v>525</v>
      </c>
      <c r="H1899" s="42">
        <v>45643</v>
      </c>
      <c r="I1899" s="43">
        <v>0.25</v>
      </c>
      <c r="J1899" s="35" t="s">
        <v>14</v>
      </c>
    </row>
    <row r="1900" spans="2:10">
      <c r="B1900" s="22" t="s">
        <v>205</v>
      </c>
      <c r="C1900" s="28">
        <f>IF(B1900&lt;&gt;"",VLOOKUP(B1900,Projetos!E:F,2,0),"")</f>
        <v>34</v>
      </c>
      <c r="E1900" s="22" t="s">
        <v>40</v>
      </c>
      <c r="F1900" s="71" t="s">
        <v>1048</v>
      </c>
      <c r="G1900" s="41" t="s">
        <v>525</v>
      </c>
      <c r="H1900" s="42">
        <v>45644</v>
      </c>
      <c r="I1900" s="43">
        <v>0.25</v>
      </c>
      <c r="J1900" s="35" t="s">
        <v>14</v>
      </c>
    </row>
    <row r="1901" spans="2:10">
      <c r="B1901" s="22" t="s">
        <v>231</v>
      </c>
      <c r="C1901" s="28">
        <f>IF(B1901&lt;&gt;"",VLOOKUP(B1901,Projetos!E:F,2,0),"")</f>
        <v>35</v>
      </c>
      <c r="E1901" s="22" t="s">
        <v>40</v>
      </c>
      <c r="F1901" s="71" t="s">
        <v>1048</v>
      </c>
      <c r="G1901" s="41" t="s">
        <v>528</v>
      </c>
      <c r="H1901" s="42">
        <v>45643</v>
      </c>
      <c r="I1901" s="43">
        <v>0.20833333333333334</v>
      </c>
      <c r="J1901" s="35" t="s">
        <v>14</v>
      </c>
    </row>
    <row r="1902" spans="2:10">
      <c r="B1902" s="22" t="s">
        <v>231</v>
      </c>
      <c r="C1902" s="28">
        <f>IF(B1902&lt;&gt;"",VLOOKUP(B1902,Projetos!E:F,2,0),"")</f>
        <v>35</v>
      </c>
      <c r="E1902" s="22" t="s">
        <v>40</v>
      </c>
      <c r="F1902" s="71" t="s">
        <v>1048</v>
      </c>
      <c r="G1902" s="41" t="s">
        <v>528</v>
      </c>
      <c r="H1902" s="42">
        <v>45644</v>
      </c>
      <c r="I1902" s="43">
        <v>0.20833333333333334</v>
      </c>
      <c r="J1902" s="35" t="s">
        <v>14</v>
      </c>
    </row>
    <row r="1903" spans="2:10">
      <c r="B1903" s="22" t="s">
        <v>156</v>
      </c>
      <c r="C1903" s="28">
        <f>IF(B1903&lt;&gt;"",VLOOKUP(B1903,Projetos!E:F,2,0),"")</f>
        <v>3</v>
      </c>
      <c r="E1903" s="22" t="s">
        <v>40</v>
      </c>
      <c r="F1903" s="71" t="s">
        <v>868</v>
      </c>
      <c r="G1903" s="41" t="s">
        <v>66</v>
      </c>
      <c r="H1903" s="42">
        <v>45628</v>
      </c>
      <c r="I1903" s="43">
        <v>0.25</v>
      </c>
      <c r="J1903" s="35" t="s">
        <v>14</v>
      </c>
    </row>
    <row r="1904" spans="2:10">
      <c r="B1904" s="22" t="s">
        <v>156</v>
      </c>
      <c r="C1904" s="28">
        <f>IF(B1904&lt;&gt;"",VLOOKUP(B1904,Projetos!E:F,2,0),"")</f>
        <v>3</v>
      </c>
      <c r="E1904" s="22" t="s">
        <v>40</v>
      </c>
      <c r="F1904" s="71" t="s">
        <v>868</v>
      </c>
      <c r="G1904" s="41" t="s">
        <v>66</v>
      </c>
      <c r="H1904" s="42">
        <v>45629</v>
      </c>
      <c r="I1904" s="43">
        <v>0.25</v>
      </c>
      <c r="J1904" s="35" t="s">
        <v>14</v>
      </c>
    </row>
    <row r="1905" spans="2:10">
      <c r="B1905" s="22" t="s">
        <v>156</v>
      </c>
      <c r="C1905" s="28">
        <f>IF(B1905&lt;&gt;"",VLOOKUP(B1905,Projetos!E:F,2,0),"")</f>
        <v>3</v>
      </c>
      <c r="E1905" s="22" t="s">
        <v>40</v>
      </c>
      <c r="F1905" s="71" t="s">
        <v>868</v>
      </c>
      <c r="G1905" s="41" t="s">
        <v>66</v>
      </c>
      <c r="H1905" s="42">
        <v>45630</v>
      </c>
      <c r="I1905" s="43">
        <v>0.25</v>
      </c>
      <c r="J1905" s="35" t="s">
        <v>14</v>
      </c>
    </row>
    <row r="1906" spans="2:10">
      <c r="B1906" s="22" t="s">
        <v>138</v>
      </c>
      <c r="C1906" s="28">
        <f>IF(B1906&lt;&gt;"",VLOOKUP(B1906,Projetos!E:F,2,0),"")</f>
        <v>30</v>
      </c>
      <c r="E1906" s="22" t="s">
        <v>16</v>
      </c>
      <c r="F1906" s="71" t="s">
        <v>1040</v>
      </c>
      <c r="G1906" s="41" t="s">
        <v>66</v>
      </c>
      <c r="H1906" s="42">
        <v>45631</v>
      </c>
      <c r="I1906" s="43">
        <v>0.125</v>
      </c>
      <c r="J1906" s="35" t="s">
        <v>14</v>
      </c>
    </row>
    <row r="1907" spans="2:10">
      <c r="B1907" s="22" t="s">
        <v>156</v>
      </c>
      <c r="C1907" s="28">
        <f>IF(B1907&lt;&gt;"",VLOOKUP(B1907,Projetos!E:F,2,0),"")</f>
        <v>3</v>
      </c>
      <c r="E1907" s="22" t="s">
        <v>40</v>
      </c>
      <c r="F1907" s="71" t="s">
        <v>868</v>
      </c>
      <c r="G1907" s="41" t="s">
        <v>66</v>
      </c>
      <c r="H1907" s="42">
        <v>45631</v>
      </c>
      <c r="I1907" s="43">
        <v>0.125</v>
      </c>
      <c r="J1907" s="35" t="s">
        <v>14</v>
      </c>
    </row>
    <row r="1908" spans="2:10">
      <c r="B1908" s="22" t="s">
        <v>156</v>
      </c>
      <c r="C1908" s="28">
        <f>IF(B1908&lt;&gt;"",VLOOKUP(B1908,Projetos!E:F,2,0),"")</f>
        <v>3</v>
      </c>
      <c r="E1908" s="22" t="s">
        <v>40</v>
      </c>
      <c r="F1908" s="71" t="s">
        <v>868</v>
      </c>
      <c r="G1908" s="41" t="s">
        <v>66</v>
      </c>
      <c r="H1908" s="42">
        <v>45632</v>
      </c>
      <c r="I1908" s="43">
        <v>0.25</v>
      </c>
      <c r="J1908" s="35" t="s">
        <v>14</v>
      </c>
    </row>
    <row r="1909" spans="2:10" ht="30">
      <c r="B1909" s="22" t="s">
        <v>192</v>
      </c>
      <c r="C1909" s="28">
        <f>IF(B1909&lt;&gt;"",VLOOKUP(B1909,Projetos!E:F,2,0),"")</f>
        <v>32</v>
      </c>
      <c r="E1909" s="22" t="s">
        <v>40</v>
      </c>
      <c r="F1909" s="71" t="s">
        <v>1049</v>
      </c>
      <c r="G1909" s="41" t="s">
        <v>66</v>
      </c>
      <c r="H1909" s="42">
        <v>45635</v>
      </c>
      <c r="I1909" s="43">
        <v>0.25</v>
      </c>
      <c r="J1909" s="35" t="s">
        <v>14</v>
      </c>
    </row>
    <row r="1910" spans="2:10" ht="30">
      <c r="B1910" s="22" t="s">
        <v>192</v>
      </c>
      <c r="C1910" s="28">
        <f>IF(B1910&lt;&gt;"",VLOOKUP(B1910,Projetos!E:F,2,0),"")</f>
        <v>32</v>
      </c>
      <c r="E1910" s="22" t="s">
        <v>40</v>
      </c>
      <c r="F1910" s="71" t="s">
        <v>1049</v>
      </c>
      <c r="G1910" s="41" t="s">
        <v>66</v>
      </c>
      <c r="H1910" s="42">
        <v>45636</v>
      </c>
      <c r="I1910" s="43">
        <v>0.25</v>
      </c>
      <c r="J1910" s="35" t="s">
        <v>14</v>
      </c>
    </row>
    <row r="1911" spans="2:10">
      <c r="B1911" s="22" t="s">
        <v>156</v>
      </c>
      <c r="C1911" s="28">
        <f>IF(B1911&lt;&gt;"",VLOOKUP(B1911,Projetos!E:F,2,0),"")</f>
        <v>3</v>
      </c>
      <c r="E1911" s="22" t="s">
        <v>40</v>
      </c>
      <c r="F1911" s="71" t="s">
        <v>868</v>
      </c>
      <c r="G1911" s="41" t="s">
        <v>66</v>
      </c>
      <c r="H1911" s="42">
        <v>45637</v>
      </c>
      <c r="I1911" s="43">
        <v>0.25</v>
      </c>
      <c r="J1911" s="35" t="s">
        <v>14</v>
      </c>
    </row>
    <row r="1912" spans="2:10" ht="30">
      <c r="B1912" s="22" t="s">
        <v>192</v>
      </c>
      <c r="C1912" s="28">
        <f>IF(B1912&lt;&gt;"",VLOOKUP(B1912,Projetos!E:F,2,0),"")</f>
        <v>32</v>
      </c>
      <c r="E1912" s="22" t="s">
        <v>40</v>
      </c>
      <c r="F1912" s="71" t="s">
        <v>1049</v>
      </c>
      <c r="G1912" s="41" t="s">
        <v>66</v>
      </c>
      <c r="H1912" s="42">
        <v>45638</v>
      </c>
      <c r="I1912" s="43">
        <v>0.25</v>
      </c>
      <c r="J1912" s="35" t="s">
        <v>14</v>
      </c>
    </row>
    <row r="1913" spans="2:10" ht="30">
      <c r="B1913" s="22" t="s">
        <v>192</v>
      </c>
      <c r="C1913" s="28">
        <f>IF(B1913&lt;&gt;"",VLOOKUP(B1913,Projetos!E:F,2,0),"")</f>
        <v>32</v>
      </c>
      <c r="E1913" s="22" t="s">
        <v>40</v>
      </c>
      <c r="F1913" s="71" t="s">
        <v>1049</v>
      </c>
      <c r="G1913" s="41" t="s">
        <v>66</v>
      </c>
      <c r="H1913" s="42">
        <v>45639</v>
      </c>
      <c r="I1913" s="43">
        <v>0.25</v>
      </c>
      <c r="J1913" s="35" t="s">
        <v>14</v>
      </c>
    </row>
    <row r="1914" spans="2:10" ht="30">
      <c r="B1914" s="22" t="s">
        <v>192</v>
      </c>
      <c r="C1914" s="28">
        <f>IF(B1914&lt;&gt;"",VLOOKUP(B1914,Projetos!E:F,2,0),"")</f>
        <v>32</v>
      </c>
      <c r="E1914" s="22" t="s">
        <v>40</v>
      </c>
      <c r="F1914" s="71" t="s">
        <v>1049</v>
      </c>
      <c r="G1914" s="41" t="s">
        <v>66</v>
      </c>
      <c r="H1914" s="42">
        <v>45642</v>
      </c>
      <c r="I1914" s="43">
        <v>0.25</v>
      </c>
      <c r="J1914" s="35" t="s">
        <v>14</v>
      </c>
    </row>
    <row r="1915" spans="2:10" ht="30">
      <c r="B1915" s="22" t="s">
        <v>192</v>
      </c>
      <c r="C1915" s="28">
        <f>IF(B1915&lt;&gt;"",VLOOKUP(B1915,Projetos!E:F,2,0),"")</f>
        <v>32</v>
      </c>
      <c r="E1915" s="22" t="s">
        <v>40</v>
      </c>
      <c r="F1915" s="71" t="s">
        <v>1049</v>
      </c>
      <c r="G1915" s="41" t="s">
        <v>66</v>
      </c>
      <c r="H1915" s="42">
        <v>45643</v>
      </c>
      <c r="I1915" s="43">
        <v>0.25</v>
      </c>
      <c r="J1915" s="35" t="s">
        <v>14</v>
      </c>
    </row>
    <row r="1916" spans="2:10" ht="30">
      <c r="B1916" s="22" t="s">
        <v>192</v>
      </c>
      <c r="C1916" s="28">
        <f>IF(B1916&lt;&gt;"",VLOOKUP(B1916,Projetos!E:F,2,0),"")</f>
        <v>32</v>
      </c>
      <c r="E1916" s="22" t="s">
        <v>40</v>
      </c>
      <c r="F1916" s="71" t="s">
        <v>1050</v>
      </c>
      <c r="G1916" s="41" t="s">
        <v>66</v>
      </c>
      <c r="H1916" s="42">
        <v>45644</v>
      </c>
      <c r="I1916" s="43">
        <v>0.125</v>
      </c>
      <c r="J1916" s="35" t="s">
        <v>14</v>
      </c>
    </row>
    <row r="1917" spans="2:10">
      <c r="B1917" s="22" t="s">
        <v>136</v>
      </c>
      <c r="C1917" s="28">
        <f>IF(B1917&lt;&gt;"",VLOOKUP(B1917,Projetos!E:F,2,0),"")</f>
        <v>25</v>
      </c>
      <c r="E1917" s="22" t="s">
        <v>40</v>
      </c>
      <c r="F1917" s="71" t="s">
        <v>1051</v>
      </c>
      <c r="G1917" s="41" t="s">
        <v>66</v>
      </c>
      <c r="H1917" s="42">
        <v>45644</v>
      </c>
      <c r="I1917" s="43">
        <v>0.125</v>
      </c>
      <c r="J1917" s="35" t="s">
        <v>14</v>
      </c>
    </row>
    <row r="1918" spans="2:10" ht="30">
      <c r="B1918" s="22" t="s">
        <v>192</v>
      </c>
      <c r="C1918" s="28">
        <f>IF(B1918&lt;&gt;"",VLOOKUP(B1918,Projetos!E:F,2,0),"")</f>
        <v>32</v>
      </c>
      <c r="E1918" s="22" t="s">
        <v>40</v>
      </c>
      <c r="F1918" s="71" t="s">
        <v>1050</v>
      </c>
      <c r="G1918" s="41" t="s">
        <v>66</v>
      </c>
      <c r="H1918" s="42">
        <v>45645</v>
      </c>
      <c r="I1918" s="43">
        <v>0.25</v>
      </c>
      <c r="J1918" s="35" t="s">
        <v>14</v>
      </c>
    </row>
    <row r="1919" spans="2:10">
      <c r="B1919" s="22" t="s">
        <v>136</v>
      </c>
      <c r="C1919" s="28">
        <f>IF(B1919&lt;&gt;"",VLOOKUP(B1919,Projetos!E:F,2,0),"")</f>
        <v>25</v>
      </c>
      <c r="E1919" s="22" t="s">
        <v>40</v>
      </c>
      <c r="F1919" s="71" t="s">
        <v>1051</v>
      </c>
      <c r="G1919" s="41" t="s">
        <v>66</v>
      </c>
      <c r="H1919" s="42">
        <v>45646</v>
      </c>
      <c r="I1919" s="43">
        <v>0.25</v>
      </c>
      <c r="J1919" s="35"/>
    </row>
    <row r="1920" spans="2:10">
      <c r="B1920" s="22" t="s">
        <v>205</v>
      </c>
      <c r="C1920" s="28">
        <f>IF(B1920&lt;&gt;"",VLOOKUP(B1920,Projetos!E:F,2,0),"")</f>
        <v>34</v>
      </c>
      <c r="E1920" s="22" t="s">
        <v>40</v>
      </c>
      <c r="F1920" s="71" t="s">
        <v>1052</v>
      </c>
      <c r="G1920" s="117" t="s">
        <v>525</v>
      </c>
      <c r="H1920" s="42">
        <v>45645</v>
      </c>
      <c r="I1920" s="43">
        <v>0.25</v>
      </c>
      <c r="J1920" s="35" t="s">
        <v>14</v>
      </c>
    </row>
    <row r="1921" spans="2:11">
      <c r="B1921" s="22" t="s">
        <v>231</v>
      </c>
      <c r="C1921" s="28">
        <f>IF(B1921&lt;&gt;"",VLOOKUP(B1921,Projetos!E:F,2,0),"")</f>
        <v>35</v>
      </c>
      <c r="E1921" s="22" t="s">
        <v>40</v>
      </c>
      <c r="F1921" s="71" t="s">
        <v>1052</v>
      </c>
      <c r="G1921" s="117" t="s">
        <v>528</v>
      </c>
      <c r="H1921" s="42">
        <v>45645</v>
      </c>
      <c r="I1921" s="134">
        <v>0.20833333333333334</v>
      </c>
      <c r="J1921" s="35" t="s">
        <v>14</v>
      </c>
    </row>
    <row r="1922" spans="2:11">
      <c r="B1922" s="22" t="s">
        <v>231</v>
      </c>
      <c r="C1922" s="28">
        <f>IF(B1922&lt;&gt;"",VLOOKUP(B1922,Projetos!E:F,2,0),"")</f>
        <v>35</v>
      </c>
      <c r="E1922" s="22" t="s">
        <v>40</v>
      </c>
      <c r="F1922" s="71" t="s">
        <v>1052</v>
      </c>
      <c r="G1922" s="117" t="s">
        <v>528</v>
      </c>
      <c r="H1922" s="42">
        <v>45646</v>
      </c>
      <c r="I1922" s="134">
        <v>0.20833333333333334</v>
      </c>
      <c r="J1922" s="35" t="s">
        <v>14</v>
      </c>
    </row>
    <row r="1923" spans="2:11">
      <c r="B1923" s="22" t="s">
        <v>643</v>
      </c>
      <c r="C1923" s="28">
        <f>IF(B1923&lt;&gt;"",VLOOKUP(B1923,Projetos!E:F,2,0),"")</f>
        <v>52</v>
      </c>
      <c r="E1923" s="22" t="s">
        <v>23</v>
      </c>
      <c r="F1923" s="71" t="s">
        <v>247</v>
      </c>
      <c r="G1923" s="117" t="s">
        <v>525</v>
      </c>
      <c r="H1923" s="42">
        <v>45646</v>
      </c>
      <c r="I1923" s="134">
        <v>0.20833333333333334</v>
      </c>
      <c r="J1923" s="35" t="s">
        <v>14</v>
      </c>
    </row>
    <row r="1924" spans="2:11">
      <c r="B1924" s="22" t="s">
        <v>205</v>
      </c>
      <c r="C1924" s="28">
        <f>IF(B1924&lt;&gt;"",VLOOKUP(B1924,Projetos!E:F,2,0),"")</f>
        <v>34</v>
      </c>
      <c r="E1924" s="22" t="s">
        <v>40</v>
      </c>
      <c r="F1924" s="71" t="s">
        <v>1052</v>
      </c>
      <c r="G1924" s="117" t="s">
        <v>525</v>
      </c>
      <c r="H1924" s="42">
        <v>45646</v>
      </c>
      <c r="I1924" s="43">
        <v>4.1666666666666664E-2</v>
      </c>
      <c r="J1924" s="35" t="s">
        <v>14</v>
      </c>
    </row>
    <row r="1925" spans="2:11">
      <c r="B1925" s="22" t="s">
        <v>205</v>
      </c>
      <c r="C1925" s="28">
        <f>IF(B1925&lt;&gt;"",VLOOKUP(B1925,Projetos!E:F,2,0),"")</f>
        <v>34</v>
      </c>
      <c r="E1925" s="22" t="s">
        <v>40</v>
      </c>
      <c r="F1925" s="71" t="s">
        <v>1053</v>
      </c>
      <c r="G1925" s="41" t="s">
        <v>528</v>
      </c>
      <c r="H1925" s="42">
        <v>45664</v>
      </c>
      <c r="I1925" s="43">
        <v>0.20833333333333334</v>
      </c>
      <c r="J1925" s="35" t="s">
        <v>14</v>
      </c>
    </row>
    <row r="1926" spans="2:11">
      <c r="B1926" s="22" t="s">
        <v>205</v>
      </c>
      <c r="C1926" s="28">
        <f>IF(B1926&lt;&gt;"",VLOOKUP(B1926,Projetos!E:F,2,0),"")</f>
        <v>34</v>
      </c>
      <c r="E1926" s="22" t="s">
        <v>40</v>
      </c>
      <c r="F1926" s="71" t="s">
        <v>1053</v>
      </c>
      <c r="G1926" s="41" t="s">
        <v>528</v>
      </c>
      <c r="H1926" s="42">
        <v>45665</v>
      </c>
      <c r="I1926" s="43">
        <v>0.20833333333333334</v>
      </c>
      <c r="J1926" s="35" t="s">
        <v>14</v>
      </c>
    </row>
    <row r="1927" spans="2:11">
      <c r="B1927" s="22" t="s">
        <v>205</v>
      </c>
      <c r="C1927" s="28">
        <f>IF(B1927&lt;&gt;"",VLOOKUP(B1927,Projetos!E:F,2,0),"")</f>
        <v>34</v>
      </c>
      <c r="E1927" s="22" t="s">
        <v>40</v>
      </c>
      <c r="F1927" s="71" t="s">
        <v>1053</v>
      </c>
      <c r="G1927" s="41" t="s">
        <v>528</v>
      </c>
      <c r="H1927" s="42">
        <v>45666</v>
      </c>
      <c r="I1927" s="43">
        <v>0.20833333333333334</v>
      </c>
      <c r="J1927" s="35" t="s">
        <v>14</v>
      </c>
    </row>
    <row r="1928" spans="2:11">
      <c r="B1928" s="22" t="s">
        <v>140</v>
      </c>
      <c r="C1928" s="28">
        <f>IF(B1928&lt;&gt;"",VLOOKUP(B1928,Projetos!E:F,2,0),"")</f>
        <v>39</v>
      </c>
      <c r="E1928" s="22" t="s">
        <v>21</v>
      </c>
      <c r="F1928" s="71" t="s">
        <v>1000</v>
      </c>
      <c r="G1928" s="41" t="s">
        <v>174</v>
      </c>
      <c r="H1928" s="42">
        <v>45537</v>
      </c>
      <c r="I1928" s="43">
        <v>0.33333333333333331</v>
      </c>
      <c r="J1928" s="35" t="s">
        <v>14</v>
      </c>
      <c r="K1928" s="54"/>
    </row>
    <row r="1929" spans="2:11">
      <c r="B1929" s="22" t="s">
        <v>140</v>
      </c>
      <c r="C1929" s="28">
        <v>39</v>
      </c>
      <c r="E1929" s="22" t="s">
        <v>21</v>
      </c>
      <c r="F1929" s="71" t="s">
        <v>1000</v>
      </c>
      <c r="G1929" s="41" t="s">
        <v>174</v>
      </c>
      <c r="H1929" s="42">
        <v>45538</v>
      </c>
      <c r="I1929" s="43">
        <v>0.33333333333333331</v>
      </c>
      <c r="J1929" s="35" t="s">
        <v>14</v>
      </c>
      <c r="K1929" s="54"/>
    </row>
    <row r="1930" spans="2:11">
      <c r="B1930" s="22" t="s">
        <v>140</v>
      </c>
      <c r="C1930" s="28">
        <f>IF(B1930&lt;&gt;"",VLOOKUP(B1930,Projetos!E:F,2,0),"")</f>
        <v>39</v>
      </c>
      <c r="E1930" s="22" t="s">
        <v>21</v>
      </c>
      <c r="F1930" s="71" t="s">
        <v>1000</v>
      </c>
      <c r="G1930" s="41" t="s">
        <v>174</v>
      </c>
      <c r="H1930" s="42">
        <v>45539</v>
      </c>
      <c r="I1930" s="43">
        <v>0.16666666666666666</v>
      </c>
      <c r="J1930" s="35" t="s">
        <v>14</v>
      </c>
      <c r="K1930" s="54"/>
    </row>
    <row r="1931" spans="2:11">
      <c r="B1931" s="22" t="s">
        <v>140</v>
      </c>
      <c r="C1931" s="28">
        <f>IF(B1931&lt;&gt;"",VLOOKUP(B1931,Projetos!E:F,2,0),"")</f>
        <v>39</v>
      </c>
      <c r="E1931" s="22" t="s">
        <v>21</v>
      </c>
      <c r="F1931" s="71" t="s">
        <v>1000</v>
      </c>
      <c r="G1931" s="41" t="s">
        <v>174</v>
      </c>
      <c r="H1931" s="42">
        <v>45566</v>
      </c>
      <c r="I1931" s="43">
        <v>0.16666666666666666</v>
      </c>
      <c r="J1931" s="35" t="s">
        <v>14</v>
      </c>
    </row>
    <row r="1932" spans="2:11">
      <c r="B1932" s="22" t="s">
        <v>140</v>
      </c>
      <c r="C1932" s="28">
        <f>IF(B1932&lt;&gt;"",VLOOKUP(B1932,Projetos!E:F,2,0),"")</f>
        <v>39</v>
      </c>
      <c r="E1932" s="22" t="s">
        <v>21</v>
      </c>
      <c r="F1932" s="71" t="s">
        <v>1000</v>
      </c>
      <c r="G1932" s="41" t="s">
        <v>174</v>
      </c>
      <c r="H1932" s="42">
        <v>45567</v>
      </c>
      <c r="I1932" s="43">
        <v>0.16666666666666666</v>
      </c>
      <c r="J1932" s="35" t="s">
        <v>14</v>
      </c>
    </row>
    <row r="1933" spans="2:11">
      <c r="B1933" s="22" t="s">
        <v>140</v>
      </c>
      <c r="C1933" s="28">
        <f>IF(B1933&lt;&gt;"",VLOOKUP(B1933,Projetos!E:F,2,0),"")</f>
        <v>39</v>
      </c>
      <c r="E1933" s="22" t="s">
        <v>21</v>
      </c>
      <c r="F1933" s="71" t="s">
        <v>1000</v>
      </c>
      <c r="G1933" s="41" t="s">
        <v>174</v>
      </c>
      <c r="H1933" s="42">
        <v>45568</v>
      </c>
      <c r="I1933" s="43">
        <v>0.16666666666666666</v>
      </c>
      <c r="J1933" s="35" t="s">
        <v>14</v>
      </c>
    </row>
    <row r="1934" spans="2:11">
      <c r="B1934" s="22" t="s">
        <v>140</v>
      </c>
      <c r="C1934" s="28">
        <f>IF(B1934&lt;&gt;"",VLOOKUP(B1934,Projetos!E:F,2,0),"")</f>
        <v>39</v>
      </c>
      <c r="E1934" s="22" t="s">
        <v>21</v>
      </c>
      <c r="F1934" s="71" t="s">
        <v>1000</v>
      </c>
      <c r="G1934" s="41" t="s">
        <v>174</v>
      </c>
      <c r="H1934" s="42">
        <v>45569</v>
      </c>
      <c r="I1934" s="43">
        <v>0.16666666666666666</v>
      </c>
      <c r="J1934" s="35" t="s">
        <v>14</v>
      </c>
    </row>
    <row r="1935" spans="2:11">
      <c r="B1935" s="22" t="s">
        <v>140</v>
      </c>
      <c r="C1935" s="28">
        <f>IF(B1935&lt;&gt;"",VLOOKUP(B1935,Projetos!E:F,2,0),"")</f>
        <v>39</v>
      </c>
      <c r="E1935" s="22" t="s">
        <v>21</v>
      </c>
      <c r="F1935" s="71" t="s">
        <v>1000</v>
      </c>
      <c r="G1935" s="41" t="s">
        <v>174</v>
      </c>
      <c r="H1935" s="42">
        <v>45572</v>
      </c>
      <c r="I1935" s="43">
        <v>0.16666666666666666</v>
      </c>
      <c r="J1935" s="35" t="s">
        <v>14</v>
      </c>
    </row>
    <row r="1936" spans="2:11">
      <c r="B1936" s="22" t="s">
        <v>140</v>
      </c>
      <c r="C1936" s="28">
        <f>IF(B1936&lt;&gt;"",VLOOKUP(B1936,Projetos!E:F,2,0),"")</f>
        <v>39</v>
      </c>
      <c r="E1936" s="22" t="s">
        <v>21</v>
      </c>
      <c r="F1936" s="71" t="s">
        <v>1000</v>
      </c>
      <c r="G1936" s="41" t="s">
        <v>174</v>
      </c>
      <c r="H1936" s="42">
        <v>45573</v>
      </c>
      <c r="I1936" s="43">
        <v>0.16666666666666666</v>
      </c>
      <c r="J1936" s="35" t="s">
        <v>14</v>
      </c>
    </row>
    <row r="1937" spans="2:10">
      <c r="B1937" s="22" t="s">
        <v>140</v>
      </c>
      <c r="C1937" s="28">
        <f>IF(B1937&lt;&gt;"",VLOOKUP(B1937,Projetos!E:F,2,0),"")</f>
        <v>39</v>
      </c>
      <c r="E1937" s="22" t="s">
        <v>21</v>
      </c>
      <c r="F1937" s="71" t="s">
        <v>1000</v>
      </c>
      <c r="G1937" s="41" t="s">
        <v>174</v>
      </c>
      <c r="H1937" s="42">
        <v>45574</v>
      </c>
      <c r="I1937" s="43">
        <v>0.33333333333333331</v>
      </c>
      <c r="J1937" s="35" t="s">
        <v>14</v>
      </c>
    </row>
    <row r="1938" spans="2:10">
      <c r="B1938" s="22" t="s">
        <v>140</v>
      </c>
      <c r="C1938" s="28">
        <f>IF(B1938&lt;&gt;"",VLOOKUP(B1938,Projetos!E:F,2,0),"")</f>
        <v>39</v>
      </c>
      <c r="E1938" s="22" t="s">
        <v>21</v>
      </c>
      <c r="F1938" s="71" t="s">
        <v>1000</v>
      </c>
      <c r="G1938" s="41" t="s">
        <v>174</v>
      </c>
      <c r="H1938" s="42">
        <v>45575</v>
      </c>
      <c r="I1938" s="43">
        <v>0.16666666666666666</v>
      </c>
      <c r="J1938" s="35" t="s">
        <v>14</v>
      </c>
    </row>
    <row r="1939" spans="2:10">
      <c r="B1939" s="22" t="s">
        <v>140</v>
      </c>
      <c r="C1939" s="28">
        <f>IF(B1939&lt;&gt;"",VLOOKUP(B1939,Projetos!E:F,2,0),"")</f>
        <v>39</v>
      </c>
      <c r="E1939" s="22" t="s">
        <v>21</v>
      </c>
      <c r="F1939" s="71" t="s">
        <v>1000</v>
      </c>
      <c r="G1939" s="41" t="s">
        <v>174</v>
      </c>
      <c r="H1939" s="42">
        <v>45576</v>
      </c>
      <c r="I1939" s="43">
        <v>0.16666666666666666</v>
      </c>
      <c r="J1939" s="35" t="s">
        <v>14</v>
      </c>
    </row>
    <row r="1940" spans="2:10">
      <c r="B1940" s="22" t="s">
        <v>140</v>
      </c>
      <c r="C1940" s="28">
        <f>IF(B1940&lt;&gt;"",VLOOKUP(B1940,Projetos!E:F,2,0),"")</f>
        <v>39</v>
      </c>
      <c r="E1940" s="22" t="s">
        <v>21</v>
      </c>
      <c r="F1940" s="71" t="s">
        <v>1000</v>
      </c>
      <c r="G1940" s="41" t="s">
        <v>174</v>
      </c>
      <c r="H1940" s="42">
        <v>45579</v>
      </c>
      <c r="I1940" s="43">
        <v>0.16666666666666666</v>
      </c>
      <c r="J1940" s="35" t="s">
        <v>14</v>
      </c>
    </row>
    <row r="1941" spans="2:10">
      <c r="B1941" s="22" t="s">
        <v>140</v>
      </c>
      <c r="C1941" s="28">
        <f>IF(B1941&lt;&gt;"",VLOOKUP(B1941,Projetos!E:F,2,0),"")</f>
        <v>39</v>
      </c>
      <c r="E1941" s="22" t="s">
        <v>21</v>
      </c>
      <c r="F1941" s="71" t="s">
        <v>1000</v>
      </c>
      <c r="G1941" s="41" t="s">
        <v>174</v>
      </c>
      <c r="H1941" s="42">
        <v>45580</v>
      </c>
      <c r="I1941" s="43">
        <v>0.16666666666666666</v>
      </c>
      <c r="J1941" s="35" t="s">
        <v>14</v>
      </c>
    </row>
    <row r="1942" spans="2:10">
      <c r="B1942" s="22" t="s">
        <v>140</v>
      </c>
      <c r="C1942" s="28">
        <v>39</v>
      </c>
      <c r="E1942" s="22" t="s">
        <v>21</v>
      </c>
      <c r="F1942" s="71" t="s">
        <v>1000</v>
      </c>
      <c r="G1942" s="41" t="s">
        <v>174</v>
      </c>
      <c r="H1942" s="42">
        <v>45581</v>
      </c>
      <c r="I1942" s="43">
        <v>0.16666666666666666</v>
      </c>
      <c r="J1942" s="35" t="s">
        <v>14</v>
      </c>
    </row>
    <row r="1943" spans="2:10">
      <c r="B1943" s="22" t="s">
        <v>140</v>
      </c>
      <c r="C1943" s="28">
        <v>39</v>
      </c>
      <c r="E1943" s="22" t="s">
        <v>21</v>
      </c>
      <c r="F1943" s="71" t="s">
        <v>1000</v>
      </c>
      <c r="G1943" s="41" t="s">
        <v>174</v>
      </c>
      <c r="H1943" s="42">
        <v>45582</v>
      </c>
      <c r="I1943" s="43">
        <v>0.16666666666666666</v>
      </c>
      <c r="J1943" s="35" t="s">
        <v>14</v>
      </c>
    </row>
    <row r="1944" spans="2:10">
      <c r="B1944" s="22" t="s">
        <v>140</v>
      </c>
      <c r="C1944" s="28">
        <f>IF(B1944&lt;&gt;"",VLOOKUP(B1944,Projetos!E:F,2,0),"")</f>
        <v>39</v>
      </c>
      <c r="E1944" s="22" t="s">
        <v>21</v>
      </c>
      <c r="F1944" s="71" t="s">
        <v>1000</v>
      </c>
      <c r="G1944" s="41" t="s">
        <v>174</v>
      </c>
      <c r="H1944" s="42">
        <v>45583</v>
      </c>
      <c r="I1944" s="43">
        <v>0.16666666666666666</v>
      </c>
      <c r="J1944" s="35" t="s">
        <v>14</v>
      </c>
    </row>
    <row r="1945" spans="2:10">
      <c r="B1945" s="22" t="s">
        <v>140</v>
      </c>
      <c r="C1945" s="28">
        <f>IF(B1945&lt;&gt;"",VLOOKUP(B1945,Projetos!E:F,2,0),"")</f>
        <v>39</v>
      </c>
      <c r="E1945" s="22" t="s">
        <v>21</v>
      </c>
      <c r="F1945" s="71" t="s">
        <v>1000</v>
      </c>
      <c r="G1945" s="41" t="s">
        <v>174</v>
      </c>
      <c r="H1945" s="42">
        <v>45586</v>
      </c>
      <c r="I1945" s="43">
        <v>0.16666666666666666</v>
      </c>
      <c r="J1945" s="35" t="s">
        <v>14</v>
      </c>
    </row>
    <row r="1946" spans="2:10">
      <c r="B1946" s="22" t="s">
        <v>140</v>
      </c>
      <c r="C1946" s="28">
        <v>39</v>
      </c>
      <c r="E1946" s="22" t="s">
        <v>21</v>
      </c>
      <c r="F1946" s="71" t="s">
        <v>1000</v>
      </c>
      <c r="G1946" s="41" t="s">
        <v>174</v>
      </c>
      <c r="H1946" s="42">
        <v>45587</v>
      </c>
      <c r="I1946" s="43">
        <v>0.16666666666666666</v>
      </c>
      <c r="J1946" s="35" t="s">
        <v>14</v>
      </c>
    </row>
    <row r="1947" spans="2:10">
      <c r="B1947" s="22" t="s">
        <v>140</v>
      </c>
      <c r="C1947" s="28">
        <v>39</v>
      </c>
      <c r="E1947" s="22" t="s">
        <v>21</v>
      </c>
      <c r="F1947" s="71" t="s">
        <v>1000</v>
      </c>
      <c r="G1947" s="41" t="s">
        <v>174</v>
      </c>
      <c r="H1947" s="42">
        <v>45588</v>
      </c>
      <c r="I1947" s="43">
        <v>0.16666666666666666</v>
      </c>
      <c r="J1947" s="35" t="s">
        <v>14</v>
      </c>
    </row>
    <row r="1948" spans="2:10">
      <c r="B1948" s="22" t="s">
        <v>140</v>
      </c>
      <c r="C1948" s="28">
        <f>IF(B1948&lt;&gt;"",VLOOKUP(B1948,Projetos!E:F,2,0),"")</f>
        <v>39</v>
      </c>
      <c r="E1948" s="22" t="s">
        <v>21</v>
      </c>
      <c r="F1948" s="71" t="s">
        <v>1000</v>
      </c>
      <c r="G1948" s="41" t="s">
        <v>174</v>
      </c>
      <c r="H1948" s="42">
        <v>45589</v>
      </c>
      <c r="I1948" s="43">
        <v>0.16666666666666666</v>
      </c>
      <c r="J1948" s="35" t="s">
        <v>14</v>
      </c>
    </row>
    <row r="1949" spans="2:10">
      <c r="B1949" s="22" t="s">
        <v>140</v>
      </c>
      <c r="C1949" s="28">
        <f>IF(B1949&lt;&gt;"",VLOOKUP(B1949,Projetos!E:F,2,0),"")</f>
        <v>39</v>
      </c>
      <c r="E1949" s="22" t="s">
        <v>21</v>
      </c>
      <c r="F1949" s="71" t="s">
        <v>1000</v>
      </c>
      <c r="G1949" s="41" t="s">
        <v>174</v>
      </c>
      <c r="H1949" s="42">
        <v>45593</v>
      </c>
      <c r="I1949" s="43">
        <v>0.16666666666666666</v>
      </c>
      <c r="J1949" s="35" t="s">
        <v>14</v>
      </c>
    </row>
    <row r="1950" spans="2:10">
      <c r="B1950" s="22" t="s">
        <v>140</v>
      </c>
      <c r="C1950" s="28">
        <f>IF(B1950&lt;&gt;"",VLOOKUP(B1950,Projetos!E:F,2,0),"")</f>
        <v>39</v>
      </c>
      <c r="E1950" s="22" t="s">
        <v>21</v>
      </c>
      <c r="F1950" s="71" t="s">
        <v>1000</v>
      </c>
      <c r="G1950" s="41" t="s">
        <v>174</v>
      </c>
      <c r="H1950" s="42">
        <v>45594</v>
      </c>
      <c r="I1950" s="43">
        <v>0.16666666666666666</v>
      </c>
      <c r="J1950" s="35" t="s">
        <v>14</v>
      </c>
    </row>
    <row r="1951" spans="2:10">
      <c r="B1951" s="22" t="s">
        <v>140</v>
      </c>
      <c r="C1951" s="28">
        <f>IF(B1951&lt;&gt;"",VLOOKUP(B1951,Projetos!E:F,2,0),"")</f>
        <v>39</v>
      </c>
      <c r="E1951" s="22" t="s">
        <v>21</v>
      </c>
      <c r="F1951" s="71" t="s">
        <v>1000</v>
      </c>
      <c r="G1951" s="41" t="s">
        <v>174</v>
      </c>
      <c r="H1951" s="42">
        <v>45595</v>
      </c>
      <c r="I1951" s="43">
        <v>0.16666666666666666</v>
      </c>
      <c r="J1951" s="35" t="s">
        <v>14</v>
      </c>
    </row>
    <row r="1952" spans="2:10">
      <c r="B1952" s="22" t="s">
        <v>140</v>
      </c>
      <c r="C1952" s="28">
        <f>IF(B1952&lt;&gt;"",VLOOKUP(B1952,Projetos!E:F,2,0),"")</f>
        <v>39</v>
      </c>
      <c r="E1952" s="22" t="s">
        <v>21</v>
      </c>
      <c r="F1952" s="71" t="s">
        <v>1000</v>
      </c>
      <c r="G1952" s="41" t="s">
        <v>174</v>
      </c>
      <c r="H1952" s="42">
        <v>45596</v>
      </c>
      <c r="I1952" s="43">
        <v>0.16666666666666666</v>
      </c>
      <c r="J1952" s="35" t="s">
        <v>14</v>
      </c>
    </row>
    <row r="1953" spans="2:10">
      <c r="B1953" s="22" t="s">
        <v>156</v>
      </c>
      <c r="C1953" s="28">
        <f>IF(B1953&lt;&gt;"",VLOOKUP(B1953,Projetos!E:F,2,0),"")</f>
        <v>3</v>
      </c>
      <c r="E1953" s="22" t="s">
        <v>21</v>
      </c>
      <c r="F1953" s="71" t="s">
        <v>999</v>
      </c>
      <c r="G1953" s="41" t="s">
        <v>174</v>
      </c>
      <c r="H1953" s="42">
        <v>45566</v>
      </c>
      <c r="I1953" s="43">
        <v>0.16666666666666666</v>
      </c>
      <c r="J1953" s="35" t="s">
        <v>14</v>
      </c>
    </row>
    <row r="1954" spans="2:10">
      <c r="B1954" s="22" t="s">
        <v>156</v>
      </c>
      <c r="C1954" s="28">
        <f>IF(B1954&lt;&gt;"",VLOOKUP(B1954,Projetos!E:F,2,0),"")</f>
        <v>3</v>
      </c>
      <c r="E1954" s="22" t="s">
        <v>21</v>
      </c>
      <c r="F1954" s="71" t="s">
        <v>999</v>
      </c>
      <c r="G1954" s="41" t="s">
        <v>174</v>
      </c>
      <c r="H1954" s="42">
        <v>45567</v>
      </c>
      <c r="I1954" s="43">
        <v>0.16666666666666666</v>
      </c>
      <c r="J1954" s="35" t="s">
        <v>14</v>
      </c>
    </row>
    <row r="1955" spans="2:10">
      <c r="B1955" s="22" t="s">
        <v>156</v>
      </c>
      <c r="C1955" s="28">
        <f>IF(B1955&lt;&gt;"",VLOOKUP(B1955,Projetos!E:F,2,0),"")</f>
        <v>3</v>
      </c>
      <c r="E1955" s="22" t="s">
        <v>21</v>
      </c>
      <c r="F1955" s="71" t="s">
        <v>999</v>
      </c>
      <c r="G1955" s="41" t="s">
        <v>174</v>
      </c>
      <c r="H1955" s="42">
        <v>45568</v>
      </c>
      <c r="I1955" s="43">
        <v>0.16666666666666666</v>
      </c>
      <c r="J1955" s="35" t="s">
        <v>14</v>
      </c>
    </row>
    <row r="1956" spans="2:10">
      <c r="B1956" s="22" t="s">
        <v>156</v>
      </c>
      <c r="C1956" s="28">
        <f>IF(B1956&lt;&gt;"",VLOOKUP(B1956,Projetos!E:F,2,0),"")</f>
        <v>3</v>
      </c>
      <c r="E1956" s="22" t="s">
        <v>21</v>
      </c>
      <c r="F1956" s="71" t="s">
        <v>999</v>
      </c>
      <c r="G1956" s="41" t="s">
        <v>174</v>
      </c>
      <c r="H1956" s="42">
        <v>45569</v>
      </c>
      <c r="I1956" s="43">
        <v>0.16666666666666666</v>
      </c>
      <c r="J1956" s="35" t="s">
        <v>14</v>
      </c>
    </row>
    <row r="1957" spans="2:10">
      <c r="B1957" s="22" t="s">
        <v>156</v>
      </c>
      <c r="C1957" s="28">
        <f>IF(B1957&lt;&gt;"",VLOOKUP(B1957,Projetos!E:F,2,0),"")</f>
        <v>3</v>
      </c>
      <c r="E1957" s="22" t="s">
        <v>21</v>
      </c>
      <c r="F1957" s="71" t="s">
        <v>999</v>
      </c>
      <c r="G1957" s="41" t="s">
        <v>174</v>
      </c>
      <c r="H1957" s="42">
        <v>45572</v>
      </c>
      <c r="I1957" s="43">
        <v>0.16666666666666666</v>
      </c>
      <c r="J1957" s="35" t="s">
        <v>14</v>
      </c>
    </row>
    <row r="1958" spans="2:10">
      <c r="B1958" s="22" t="s">
        <v>156</v>
      </c>
      <c r="C1958" s="28">
        <f>IF(B1958&lt;&gt;"",VLOOKUP(B1958,Projetos!E:F,2,0),"")</f>
        <v>3</v>
      </c>
      <c r="E1958" s="22" t="s">
        <v>21</v>
      </c>
      <c r="F1958" s="71" t="s">
        <v>999</v>
      </c>
      <c r="G1958" s="41" t="s">
        <v>174</v>
      </c>
      <c r="H1958" s="42">
        <v>45573</v>
      </c>
      <c r="I1958" s="43">
        <v>0.16666666666666666</v>
      </c>
      <c r="J1958" s="35" t="s">
        <v>14</v>
      </c>
    </row>
    <row r="1959" spans="2:10">
      <c r="B1959" s="22" t="s">
        <v>156</v>
      </c>
      <c r="C1959" s="28">
        <f>IF(B1959&lt;&gt;"",VLOOKUP(B1959,Projetos!E:F,2,0),"")</f>
        <v>3</v>
      </c>
      <c r="E1959" s="22" t="s">
        <v>21</v>
      </c>
      <c r="F1959" s="71" t="s">
        <v>999</v>
      </c>
      <c r="G1959" s="41" t="s">
        <v>174</v>
      </c>
      <c r="H1959" s="42">
        <v>45575</v>
      </c>
      <c r="I1959" s="43">
        <v>0.16666666666666666</v>
      </c>
      <c r="J1959" s="35" t="s">
        <v>14</v>
      </c>
    </row>
    <row r="1960" spans="2:10">
      <c r="B1960" s="22" t="s">
        <v>156</v>
      </c>
      <c r="C1960" s="28">
        <f>IF(B1960&lt;&gt;"",VLOOKUP(B1960,Projetos!E:F,2,0),"")</f>
        <v>3</v>
      </c>
      <c r="E1960" s="22" t="s">
        <v>21</v>
      </c>
      <c r="F1960" s="71" t="s">
        <v>999</v>
      </c>
      <c r="G1960" s="41" t="s">
        <v>174</v>
      </c>
      <c r="H1960" s="42">
        <v>45576</v>
      </c>
      <c r="I1960" s="43">
        <v>0.16666666666666666</v>
      </c>
      <c r="J1960" s="35" t="s">
        <v>14</v>
      </c>
    </row>
    <row r="1961" spans="2:10">
      <c r="B1961" s="22" t="s">
        <v>156</v>
      </c>
      <c r="C1961" s="28">
        <f>IF(B1961&lt;&gt;"",VLOOKUP(B1961,Projetos!E:F,2,0),"")</f>
        <v>3</v>
      </c>
      <c r="E1961" s="22" t="s">
        <v>21</v>
      </c>
      <c r="F1961" s="71" t="s">
        <v>999</v>
      </c>
      <c r="G1961" s="41" t="s">
        <v>174</v>
      </c>
      <c r="H1961" s="42">
        <v>45579</v>
      </c>
      <c r="I1961" s="43">
        <v>0.16666666666666666</v>
      </c>
      <c r="J1961" s="35" t="s">
        <v>14</v>
      </c>
    </row>
    <row r="1962" spans="2:10">
      <c r="B1962" s="22" t="s">
        <v>156</v>
      </c>
      <c r="C1962" s="28">
        <f>IF(B1962&lt;&gt;"",VLOOKUP(B1962,Projetos!E:F,2,0),"")</f>
        <v>3</v>
      </c>
      <c r="E1962" s="22" t="s">
        <v>21</v>
      </c>
      <c r="F1962" s="71" t="s">
        <v>999</v>
      </c>
      <c r="G1962" s="41" t="s">
        <v>174</v>
      </c>
      <c r="H1962" s="42">
        <v>45580</v>
      </c>
      <c r="I1962" s="43">
        <v>0.16666666666666666</v>
      </c>
      <c r="J1962" s="35" t="s">
        <v>14</v>
      </c>
    </row>
    <row r="1963" spans="2:10">
      <c r="B1963" s="22" t="s">
        <v>156</v>
      </c>
      <c r="C1963" s="28">
        <f>IF(B1963&lt;&gt;"",VLOOKUP(B1963,Projetos!E:F,2,0),"")</f>
        <v>3</v>
      </c>
      <c r="E1963" s="22" t="s">
        <v>21</v>
      </c>
      <c r="F1963" s="71" t="s">
        <v>999</v>
      </c>
      <c r="G1963" s="41" t="s">
        <v>174</v>
      </c>
      <c r="H1963" s="42">
        <v>45583</v>
      </c>
      <c r="I1963" s="43">
        <v>0.16666666666666666</v>
      </c>
      <c r="J1963" s="35" t="s">
        <v>14</v>
      </c>
    </row>
    <row r="1964" spans="2:10">
      <c r="B1964" s="22" t="s">
        <v>156</v>
      </c>
      <c r="C1964" s="28">
        <f>IF(B1964&lt;&gt;"",VLOOKUP(B1964,Projetos!E:F,2,0),"")</f>
        <v>3</v>
      </c>
      <c r="E1964" s="22" t="s">
        <v>21</v>
      </c>
      <c r="F1964" s="71" t="s">
        <v>999</v>
      </c>
      <c r="G1964" s="41" t="s">
        <v>174</v>
      </c>
      <c r="H1964" s="42">
        <v>45586</v>
      </c>
      <c r="I1964" s="43">
        <v>0.16666666666666666</v>
      </c>
      <c r="J1964" s="35" t="s">
        <v>14</v>
      </c>
    </row>
    <row r="1965" spans="2:10">
      <c r="B1965" s="22" t="s">
        <v>156</v>
      </c>
      <c r="C1965" s="28">
        <f>IF(B1965&lt;&gt;"",VLOOKUP(B1965,Projetos!E:F,2,0),"")</f>
        <v>3</v>
      </c>
      <c r="E1965" s="22" t="s">
        <v>21</v>
      </c>
      <c r="F1965" s="71" t="s">
        <v>999</v>
      </c>
      <c r="G1965" s="41" t="s">
        <v>174</v>
      </c>
      <c r="H1965" s="42">
        <v>45589</v>
      </c>
      <c r="I1965" s="43">
        <v>0.16666666666666666</v>
      </c>
      <c r="J1965" s="35" t="s">
        <v>14</v>
      </c>
    </row>
    <row r="1966" spans="2:10">
      <c r="B1966" s="22" t="s">
        <v>156</v>
      </c>
      <c r="C1966" s="28">
        <f>IF(B1966&lt;&gt;"",VLOOKUP(B1966,Projetos!E:F,2,0),"")</f>
        <v>3</v>
      </c>
      <c r="E1966" s="22" t="s">
        <v>21</v>
      </c>
      <c r="F1966" s="71" t="s">
        <v>999</v>
      </c>
      <c r="G1966" s="41" t="s">
        <v>174</v>
      </c>
      <c r="H1966" s="42">
        <v>45593</v>
      </c>
      <c r="I1966" s="43">
        <v>0.16666666666666666</v>
      </c>
      <c r="J1966" s="35" t="s">
        <v>14</v>
      </c>
    </row>
    <row r="1967" spans="2:10">
      <c r="B1967" s="22" t="s">
        <v>156</v>
      </c>
      <c r="C1967" s="28">
        <f>IF(B1967&lt;&gt;"",VLOOKUP(B1967,Projetos!E:F,2,0),"")</f>
        <v>3</v>
      </c>
      <c r="E1967" s="22" t="s">
        <v>21</v>
      </c>
      <c r="F1967" s="71" t="s">
        <v>999</v>
      </c>
      <c r="G1967" s="41" t="s">
        <v>174</v>
      </c>
      <c r="H1967" s="42">
        <v>45594</v>
      </c>
      <c r="I1967" s="43">
        <v>0.16666666666666666</v>
      </c>
      <c r="J1967" s="35" t="s">
        <v>14</v>
      </c>
    </row>
    <row r="1968" spans="2:10">
      <c r="B1968" s="22" t="s">
        <v>156</v>
      </c>
      <c r="C1968" s="28">
        <f>IF(B1968&lt;&gt;"",VLOOKUP(B1968,Projetos!E:F,2,0),"")</f>
        <v>3</v>
      </c>
      <c r="E1968" s="22" t="s">
        <v>21</v>
      </c>
      <c r="F1968" s="71" t="s">
        <v>999</v>
      </c>
      <c r="G1968" s="41" t="s">
        <v>174</v>
      </c>
      <c r="H1968" s="42">
        <v>45595</v>
      </c>
      <c r="I1968" s="43">
        <v>0.16666666666666666</v>
      </c>
      <c r="J1968" s="35" t="s">
        <v>14</v>
      </c>
    </row>
    <row r="1969" spans="2:10">
      <c r="B1969" s="22" t="s">
        <v>156</v>
      </c>
      <c r="C1969" s="28">
        <f>IF(B1969&lt;&gt;"",VLOOKUP(B1969,Projetos!E:F,2,0),"")</f>
        <v>3</v>
      </c>
      <c r="E1969" s="22" t="s">
        <v>21</v>
      </c>
      <c r="F1969" s="71" t="s">
        <v>999</v>
      </c>
      <c r="G1969" s="41" t="s">
        <v>174</v>
      </c>
      <c r="H1969" s="42">
        <v>45596</v>
      </c>
      <c r="I1969" s="43">
        <v>0.16666666666666666</v>
      </c>
      <c r="J1969" s="35" t="s">
        <v>14</v>
      </c>
    </row>
    <row r="1970" spans="2:10" ht="20.25" customHeight="1">
      <c r="B1970" s="22" t="s">
        <v>156</v>
      </c>
      <c r="C1970" s="28">
        <f>IF(B1970&lt;&gt;"",VLOOKUP(B1970,Projetos!E:F,2,0),"")</f>
        <v>3</v>
      </c>
      <c r="E1970" s="22" t="s">
        <v>21</v>
      </c>
      <c r="F1970" s="71" t="s">
        <v>999</v>
      </c>
      <c r="G1970" s="41" t="s">
        <v>174</v>
      </c>
      <c r="H1970" s="42">
        <v>45597</v>
      </c>
      <c r="I1970" s="43">
        <v>0.16666666666666666</v>
      </c>
      <c r="J1970" s="35" t="s">
        <v>14</v>
      </c>
    </row>
    <row r="1971" spans="2:10" ht="40.5" customHeight="1">
      <c r="B1971" s="22" t="s">
        <v>156</v>
      </c>
      <c r="C1971" s="28">
        <f>IF(B1971&lt;&gt;"",VLOOKUP(B1971,Projetos!E:F,2,0),"")</f>
        <v>3</v>
      </c>
      <c r="E1971" s="22" t="s">
        <v>21</v>
      </c>
      <c r="F1971" s="71" t="s">
        <v>999</v>
      </c>
      <c r="G1971" s="41" t="s">
        <v>174</v>
      </c>
      <c r="H1971" s="42">
        <v>45600</v>
      </c>
      <c r="I1971" s="43">
        <v>0.16666666666666666</v>
      </c>
      <c r="J1971" s="35" t="s">
        <v>14</v>
      </c>
    </row>
    <row r="1972" spans="2:10">
      <c r="B1972" s="22" t="s">
        <v>156</v>
      </c>
      <c r="C1972" s="28">
        <f>IF(B1972&lt;&gt;"",VLOOKUP(B1972,Projetos!E:F,2,0),"")</f>
        <v>3</v>
      </c>
      <c r="E1972" s="22" t="s">
        <v>21</v>
      </c>
      <c r="F1972" s="71" t="s">
        <v>999</v>
      </c>
      <c r="G1972" s="41" t="s">
        <v>174</v>
      </c>
      <c r="H1972" s="42">
        <v>45601</v>
      </c>
      <c r="I1972" s="43">
        <v>0.16666666666666666</v>
      </c>
      <c r="J1972" s="35" t="s">
        <v>14</v>
      </c>
    </row>
    <row r="1973" spans="2:10">
      <c r="B1973" s="22" t="s">
        <v>156</v>
      </c>
      <c r="C1973" s="28">
        <f>IF(B1973&lt;&gt;"",VLOOKUP(B1973,Projetos!E:F,2,0),"")</f>
        <v>3</v>
      </c>
      <c r="E1973" s="22" t="s">
        <v>21</v>
      </c>
      <c r="F1973" s="71" t="s">
        <v>999</v>
      </c>
      <c r="G1973" s="41" t="s">
        <v>174</v>
      </c>
      <c r="H1973" s="42">
        <v>45602</v>
      </c>
      <c r="I1973" s="43">
        <v>0.16666666666666666</v>
      </c>
      <c r="J1973" s="35" t="s">
        <v>14</v>
      </c>
    </row>
    <row r="1974" spans="2:10">
      <c r="B1974" s="22" t="s">
        <v>156</v>
      </c>
      <c r="C1974" s="28">
        <f>IF(B1974&lt;&gt;"",VLOOKUP(B1974,Projetos!E:F,2,0),"")</f>
        <v>3</v>
      </c>
      <c r="E1974" s="22" t="s">
        <v>21</v>
      </c>
      <c r="F1974" s="71" t="s">
        <v>999</v>
      </c>
      <c r="G1974" s="41" t="s">
        <v>174</v>
      </c>
      <c r="H1974" s="42">
        <v>45603</v>
      </c>
      <c r="I1974" s="43">
        <v>0.16666666666666666</v>
      </c>
      <c r="J1974" s="35" t="s">
        <v>14</v>
      </c>
    </row>
    <row r="1975" spans="2:10">
      <c r="B1975" s="22" t="s">
        <v>156</v>
      </c>
      <c r="C1975" s="28">
        <f>IF(B1975&lt;&gt;"",VLOOKUP(B1975,Projetos!E:F,2,0),"")</f>
        <v>3</v>
      </c>
      <c r="E1975" s="22" t="s">
        <v>21</v>
      </c>
      <c r="F1975" s="71" t="s">
        <v>999</v>
      </c>
      <c r="G1975" s="41" t="s">
        <v>174</v>
      </c>
      <c r="H1975" s="42">
        <v>45604</v>
      </c>
      <c r="I1975" s="43">
        <v>0.16666666666666666</v>
      </c>
      <c r="J1975" s="35" t="s">
        <v>14</v>
      </c>
    </row>
    <row r="1976" spans="2:10">
      <c r="B1976" s="22" t="s">
        <v>156</v>
      </c>
      <c r="C1976" s="28">
        <f>IF(B1976&lt;&gt;"",VLOOKUP(B1976,Projetos!E:F,2,0),"")</f>
        <v>3</v>
      </c>
      <c r="E1976" s="22" t="s">
        <v>21</v>
      </c>
      <c r="F1976" s="71" t="s">
        <v>999</v>
      </c>
      <c r="G1976" s="41" t="s">
        <v>174</v>
      </c>
      <c r="H1976" s="42">
        <v>45607</v>
      </c>
      <c r="I1976" s="43">
        <v>0.16666666666666666</v>
      </c>
      <c r="J1976" s="35" t="s">
        <v>14</v>
      </c>
    </row>
    <row r="1977" spans="2:10">
      <c r="B1977" s="22" t="s">
        <v>156</v>
      </c>
      <c r="C1977" s="28">
        <f>IF(B1977&lt;&gt;"",VLOOKUP(B1977,Projetos!E:F,2,0),"")</f>
        <v>3</v>
      </c>
      <c r="E1977" s="22" t="s">
        <v>21</v>
      </c>
      <c r="F1977" s="71" t="s">
        <v>999</v>
      </c>
      <c r="G1977" s="41" t="s">
        <v>174</v>
      </c>
      <c r="H1977" s="42">
        <v>45608</v>
      </c>
      <c r="I1977" s="43">
        <v>0.16666666666666666</v>
      </c>
      <c r="J1977" s="35" t="s">
        <v>14</v>
      </c>
    </row>
    <row r="1978" spans="2:10">
      <c r="B1978" s="22" t="s">
        <v>156</v>
      </c>
      <c r="C1978" s="28">
        <f>IF(B1978&lt;&gt;"",VLOOKUP(B1978,Projetos!E:F,2,0),"")</f>
        <v>3</v>
      </c>
      <c r="E1978" s="22" t="s">
        <v>21</v>
      </c>
      <c r="F1978" s="71" t="s">
        <v>999</v>
      </c>
      <c r="G1978" s="41" t="s">
        <v>174</v>
      </c>
      <c r="H1978" s="42">
        <v>45609</v>
      </c>
      <c r="I1978" s="43">
        <v>0.16666666666666666</v>
      </c>
      <c r="J1978" s="35" t="s">
        <v>14</v>
      </c>
    </row>
    <row r="1979" spans="2:10">
      <c r="B1979" s="22" t="s">
        <v>156</v>
      </c>
      <c r="C1979" s="28">
        <f>IF(B1979&lt;&gt;"",VLOOKUP(B1979,Projetos!E:F,2,0),"")</f>
        <v>3</v>
      </c>
      <c r="E1979" s="22" t="s">
        <v>21</v>
      </c>
      <c r="F1979" s="71" t="s">
        <v>999</v>
      </c>
      <c r="G1979" s="41" t="s">
        <v>174</v>
      </c>
      <c r="H1979" s="42">
        <v>45610</v>
      </c>
      <c r="I1979" s="43">
        <v>0.16666666666666666</v>
      </c>
      <c r="J1979" s="35" t="s">
        <v>14</v>
      </c>
    </row>
    <row r="1980" spans="2:10">
      <c r="B1980" s="22" t="s">
        <v>156</v>
      </c>
      <c r="C1980" s="28">
        <f>IF(B1980&lt;&gt;"",VLOOKUP(B1980,Projetos!E:F,2,0),"")</f>
        <v>3</v>
      </c>
      <c r="E1980" s="22" t="s">
        <v>21</v>
      </c>
      <c r="F1980" s="71" t="s">
        <v>999</v>
      </c>
      <c r="G1980" s="41" t="s">
        <v>174</v>
      </c>
      <c r="H1980" s="42">
        <v>45611</v>
      </c>
      <c r="I1980" s="43">
        <v>0.16666666666666666</v>
      </c>
      <c r="J1980" s="35" t="s">
        <v>14</v>
      </c>
    </row>
    <row r="1981" spans="2:10">
      <c r="B1981" s="22" t="s">
        <v>156</v>
      </c>
      <c r="C1981" s="28">
        <f>IF(B1981&lt;&gt;"",VLOOKUP(B1981,Projetos!E:F,2,0),"")</f>
        <v>3</v>
      </c>
      <c r="E1981" s="22" t="s">
        <v>21</v>
      </c>
      <c r="F1981" s="71" t="s">
        <v>999</v>
      </c>
      <c r="G1981" s="41" t="s">
        <v>174</v>
      </c>
      <c r="H1981" s="42">
        <v>45614</v>
      </c>
      <c r="I1981" s="43">
        <v>0.16666666666666666</v>
      </c>
      <c r="J1981" s="35" t="s">
        <v>14</v>
      </c>
    </row>
    <row r="1982" spans="2:10">
      <c r="B1982" s="22" t="s">
        <v>156</v>
      </c>
      <c r="C1982" s="28">
        <f>IF(B1982&lt;&gt;"",VLOOKUP(B1982,Projetos!E:F,2,0),"")</f>
        <v>3</v>
      </c>
      <c r="E1982" s="22" t="s">
        <v>21</v>
      </c>
      <c r="F1982" s="71" t="s">
        <v>999</v>
      </c>
      <c r="G1982" s="41" t="s">
        <v>174</v>
      </c>
      <c r="H1982" s="42">
        <v>45615</v>
      </c>
      <c r="I1982" s="43">
        <v>0.16666666666666666</v>
      </c>
      <c r="J1982" s="35" t="s">
        <v>14</v>
      </c>
    </row>
    <row r="1983" spans="2:10">
      <c r="B1983" s="22" t="s">
        <v>156</v>
      </c>
      <c r="C1983" s="28">
        <f>IF(B1983&lt;&gt;"",VLOOKUP(B1983,Projetos!E:F,2,0),"")</f>
        <v>3</v>
      </c>
      <c r="E1983" s="22" t="s">
        <v>21</v>
      </c>
      <c r="F1983" s="71" t="s">
        <v>999</v>
      </c>
      <c r="G1983" s="41" t="s">
        <v>174</v>
      </c>
      <c r="H1983" s="42">
        <v>45616</v>
      </c>
      <c r="I1983" s="43">
        <v>0.16666666666666666</v>
      </c>
      <c r="J1983" s="35" t="s">
        <v>14</v>
      </c>
    </row>
    <row r="1984" spans="2:10">
      <c r="B1984" s="22" t="s">
        <v>156</v>
      </c>
      <c r="C1984" s="28">
        <f>IF(B1984&lt;&gt;"",VLOOKUP(B1984,Projetos!E:F,2,0),"")</f>
        <v>3</v>
      </c>
      <c r="E1984" s="22" t="s">
        <v>21</v>
      </c>
      <c r="F1984" s="71" t="s">
        <v>999</v>
      </c>
      <c r="G1984" s="41" t="s">
        <v>174</v>
      </c>
      <c r="H1984" s="42">
        <v>45617</v>
      </c>
      <c r="I1984" s="43">
        <v>0.16666666666666666</v>
      </c>
      <c r="J1984" s="35" t="s">
        <v>14</v>
      </c>
    </row>
    <row r="1985" spans="2:10">
      <c r="B1985" s="22" t="s">
        <v>156</v>
      </c>
      <c r="C1985" s="28">
        <f>IF(B1985&lt;&gt;"",VLOOKUP(B1985,Projetos!E:F,2,0),"")</f>
        <v>3</v>
      </c>
      <c r="E1985" s="22" t="s">
        <v>21</v>
      </c>
      <c r="F1985" s="71" t="s">
        <v>999</v>
      </c>
      <c r="G1985" s="41" t="s">
        <v>174</v>
      </c>
      <c r="H1985" s="42">
        <v>45618</v>
      </c>
      <c r="I1985" s="43">
        <v>0.16666666666666666</v>
      </c>
      <c r="J1985" s="35" t="s">
        <v>14</v>
      </c>
    </row>
    <row r="1986" spans="2:10">
      <c r="B1986" s="22" t="s">
        <v>156</v>
      </c>
      <c r="C1986" s="28">
        <f>IF(B1986&lt;&gt;"",VLOOKUP(B1986,Projetos!E:F,2,0),"")</f>
        <v>3</v>
      </c>
      <c r="E1986" s="22" t="s">
        <v>21</v>
      </c>
      <c r="F1986" s="71" t="s">
        <v>999</v>
      </c>
      <c r="G1986" s="41" t="s">
        <v>174</v>
      </c>
      <c r="H1986" s="42">
        <v>45621</v>
      </c>
      <c r="I1986" s="43">
        <v>0.16666666666666666</v>
      </c>
      <c r="J1986" s="35" t="s">
        <v>14</v>
      </c>
    </row>
    <row r="1987" spans="2:10">
      <c r="B1987" s="22" t="s">
        <v>156</v>
      </c>
      <c r="C1987" s="28">
        <f>IF(B1987&lt;&gt;"",VLOOKUP(B1987,Projetos!E:F,2,0),"")</f>
        <v>3</v>
      </c>
      <c r="E1987" s="22" t="s">
        <v>21</v>
      </c>
      <c r="F1987" s="71" t="s">
        <v>999</v>
      </c>
      <c r="G1987" s="41" t="s">
        <v>174</v>
      </c>
      <c r="H1987" s="42">
        <v>45622</v>
      </c>
      <c r="I1987" s="43">
        <v>0.16666666666666666</v>
      </c>
      <c r="J1987" s="35" t="s">
        <v>14</v>
      </c>
    </row>
    <row r="1988" spans="2:10">
      <c r="B1988" s="22" t="s">
        <v>156</v>
      </c>
      <c r="C1988" s="28">
        <f>IF(B1988&lt;&gt;"",VLOOKUP(B1988,Projetos!E:F,2,0),"")</f>
        <v>3</v>
      </c>
      <c r="E1988" s="22" t="s">
        <v>21</v>
      </c>
      <c r="F1988" s="71" t="s">
        <v>999</v>
      </c>
      <c r="G1988" s="41" t="s">
        <v>174</v>
      </c>
      <c r="H1988" s="42">
        <v>45623</v>
      </c>
      <c r="I1988" s="43">
        <v>0.16666666666666666</v>
      </c>
      <c r="J1988" s="35" t="s">
        <v>14</v>
      </c>
    </row>
    <row r="1989" spans="2:10">
      <c r="B1989" s="22" t="s">
        <v>156</v>
      </c>
      <c r="C1989" s="28">
        <f>IF(B1989&lt;&gt;"",VLOOKUP(B1989,Projetos!E:F,2,0),"")</f>
        <v>3</v>
      </c>
      <c r="E1989" s="22" t="s">
        <v>21</v>
      </c>
      <c r="F1989" s="71" t="s">
        <v>999</v>
      </c>
      <c r="G1989" s="41" t="s">
        <v>174</v>
      </c>
      <c r="H1989" s="42">
        <v>45624</v>
      </c>
      <c r="I1989" s="43">
        <v>0.16666666666666666</v>
      </c>
      <c r="J1989" s="35" t="s">
        <v>14</v>
      </c>
    </row>
    <row r="1990" spans="2:10">
      <c r="B1990" s="22" t="s">
        <v>156</v>
      </c>
      <c r="C1990" s="28">
        <f>IF(B1990&lt;&gt;"",VLOOKUP(B1990,Projetos!E:F,2,0),"")</f>
        <v>3</v>
      </c>
      <c r="E1990" s="22" t="s">
        <v>21</v>
      </c>
      <c r="F1990" s="71" t="s">
        <v>999</v>
      </c>
      <c r="G1990" s="41" t="s">
        <v>174</v>
      </c>
      <c r="H1990" s="42">
        <v>45625</v>
      </c>
      <c r="I1990" s="43">
        <v>0.16666666666666666</v>
      </c>
      <c r="J1990" s="35" t="s">
        <v>14</v>
      </c>
    </row>
    <row r="1991" spans="2:10">
      <c r="B1991" s="22" t="s">
        <v>140</v>
      </c>
      <c r="C1991" s="28">
        <f>IF(B1991&lt;&gt;"",VLOOKUP(B1991,Projetos!E:F,2,0),"")</f>
        <v>39</v>
      </c>
      <c r="E1991" s="22" t="s">
        <v>21</v>
      </c>
      <c r="F1991" s="71" t="s">
        <v>1000</v>
      </c>
      <c r="G1991" s="41" t="s">
        <v>174</v>
      </c>
      <c r="H1991" s="42">
        <v>45597</v>
      </c>
      <c r="I1991" s="43">
        <v>0.16666666666666666</v>
      </c>
      <c r="J1991" s="35" t="s">
        <v>14</v>
      </c>
    </row>
    <row r="1992" spans="2:10">
      <c r="B1992" s="22" t="s">
        <v>140</v>
      </c>
      <c r="C1992" s="28">
        <f>IF(B1992&lt;&gt;"",VLOOKUP(B1992,Projetos!E:F,2,0),"")</f>
        <v>39</v>
      </c>
      <c r="E1992" s="22" t="s">
        <v>21</v>
      </c>
      <c r="F1992" s="71" t="s">
        <v>1000</v>
      </c>
      <c r="G1992" s="41" t="s">
        <v>174</v>
      </c>
      <c r="H1992" s="42">
        <v>45600</v>
      </c>
      <c r="I1992" s="43">
        <v>0.16666666666666666</v>
      </c>
      <c r="J1992" s="35" t="s">
        <v>14</v>
      </c>
    </row>
    <row r="1993" spans="2:10">
      <c r="B1993" s="22" t="s">
        <v>140</v>
      </c>
      <c r="C1993" s="28">
        <f>IF(B1993&lt;&gt;"",VLOOKUP(B1993,Projetos!E:F,2,0),"")</f>
        <v>39</v>
      </c>
      <c r="E1993" s="22" t="s">
        <v>21</v>
      </c>
      <c r="F1993" s="71" t="s">
        <v>1000</v>
      </c>
      <c r="G1993" s="41" t="s">
        <v>174</v>
      </c>
      <c r="H1993" s="42">
        <v>45601</v>
      </c>
      <c r="I1993" s="43">
        <v>0.16666666666666666</v>
      </c>
      <c r="J1993" s="35" t="s">
        <v>14</v>
      </c>
    </row>
    <row r="1994" spans="2:10">
      <c r="B1994" s="22" t="s">
        <v>140</v>
      </c>
      <c r="C1994" s="28">
        <f>IF(B1994&lt;&gt;"",VLOOKUP(B1994,Projetos!E:F,2,0),"")</f>
        <v>39</v>
      </c>
      <c r="E1994" s="22" t="s">
        <v>21</v>
      </c>
      <c r="F1994" s="71" t="s">
        <v>1000</v>
      </c>
      <c r="G1994" s="41" t="s">
        <v>174</v>
      </c>
      <c r="H1994" s="42">
        <v>45602</v>
      </c>
      <c r="I1994" s="43">
        <v>0.16666666666666666</v>
      </c>
      <c r="J1994" s="35" t="s">
        <v>14</v>
      </c>
    </row>
    <row r="1995" spans="2:10">
      <c r="B1995" s="22" t="s">
        <v>140</v>
      </c>
      <c r="C1995" s="28">
        <f>IF(B1995&lt;&gt;"",VLOOKUP(B1995,Projetos!E:F,2,0),"")</f>
        <v>39</v>
      </c>
      <c r="E1995" s="22" t="s">
        <v>21</v>
      </c>
      <c r="F1995" s="71" t="s">
        <v>1000</v>
      </c>
      <c r="G1995" s="41" t="s">
        <v>174</v>
      </c>
      <c r="H1995" s="42">
        <v>45603</v>
      </c>
      <c r="I1995" s="43">
        <v>0.16666666666666666</v>
      </c>
      <c r="J1995" s="35" t="s">
        <v>14</v>
      </c>
    </row>
    <row r="1996" spans="2:10">
      <c r="B1996" s="22" t="s">
        <v>140</v>
      </c>
      <c r="C1996" s="28">
        <f>IF(B1996&lt;&gt;"",VLOOKUP(B1996,Projetos!E:F,2,0),"")</f>
        <v>39</v>
      </c>
      <c r="E1996" s="22" t="s">
        <v>21</v>
      </c>
      <c r="F1996" s="71" t="s">
        <v>1000</v>
      </c>
      <c r="G1996" s="41" t="s">
        <v>174</v>
      </c>
      <c r="H1996" s="42">
        <v>45604</v>
      </c>
      <c r="I1996" s="43">
        <v>0.16666666666666666</v>
      </c>
      <c r="J1996" s="35" t="s">
        <v>14</v>
      </c>
    </row>
    <row r="1997" spans="2:10">
      <c r="B1997" s="22" t="s">
        <v>140</v>
      </c>
      <c r="C1997" s="28">
        <f>IF(B1997&lt;&gt;"",VLOOKUP(B1997,Projetos!E:F,2,0),"")</f>
        <v>39</v>
      </c>
      <c r="E1997" s="22" t="s">
        <v>21</v>
      </c>
      <c r="F1997" s="71" t="s">
        <v>1000</v>
      </c>
      <c r="G1997" s="41" t="s">
        <v>174</v>
      </c>
      <c r="H1997" s="42">
        <v>45607</v>
      </c>
      <c r="I1997" s="43">
        <v>0.16666666666666666</v>
      </c>
      <c r="J1997" s="35" t="s">
        <v>14</v>
      </c>
    </row>
    <row r="1998" spans="2:10">
      <c r="B1998" s="22" t="s">
        <v>140</v>
      </c>
      <c r="C1998" s="28">
        <f>IF(B1998&lt;&gt;"",VLOOKUP(B1998,Projetos!E:F,2,0),"")</f>
        <v>39</v>
      </c>
      <c r="E1998" s="22" t="s">
        <v>21</v>
      </c>
      <c r="F1998" s="71" t="s">
        <v>1000</v>
      </c>
      <c r="G1998" s="41" t="s">
        <v>174</v>
      </c>
      <c r="H1998" s="42">
        <v>45608</v>
      </c>
      <c r="I1998" s="43">
        <v>0.16666666666666666</v>
      </c>
      <c r="J1998" s="35" t="s">
        <v>14</v>
      </c>
    </row>
    <row r="1999" spans="2:10">
      <c r="B1999" s="22" t="s">
        <v>140</v>
      </c>
      <c r="C1999" s="28">
        <f>IF(B1999&lt;&gt;"",VLOOKUP(B1999,Projetos!E:F,2,0),"")</f>
        <v>39</v>
      </c>
      <c r="E1999" s="22" t="s">
        <v>21</v>
      </c>
      <c r="F1999" s="71" t="s">
        <v>1000</v>
      </c>
      <c r="G1999" s="41" t="s">
        <v>174</v>
      </c>
      <c r="H1999" s="42">
        <v>45609</v>
      </c>
      <c r="I1999" s="43">
        <v>0.16666666666666666</v>
      </c>
      <c r="J1999" s="35" t="s">
        <v>14</v>
      </c>
    </row>
    <row r="2000" spans="2:10">
      <c r="B2000" s="22" t="s">
        <v>140</v>
      </c>
      <c r="C2000" s="28">
        <f>IF(B2000&lt;&gt;"",VLOOKUP(B2000,Projetos!E:F,2,0),"")</f>
        <v>39</v>
      </c>
      <c r="E2000" s="22" t="s">
        <v>21</v>
      </c>
      <c r="F2000" s="71" t="s">
        <v>1000</v>
      </c>
      <c r="G2000" s="41" t="s">
        <v>174</v>
      </c>
      <c r="H2000" s="42">
        <v>45610</v>
      </c>
      <c r="I2000" s="43">
        <v>0.16666666666666666</v>
      </c>
      <c r="J2000" s="35" t="s">
        <v>14</v>
      </c>
    </row>
    <row r="2001" spans="2:10">
      <c r="B2001" s="22" t="s">
        <v>140</v>
      </c>
      <c r="C2001" s="28">
        <f>IF(B2001&lt;&gt;"",VLOOKUP(B2001,Projetos!E:F,2,0),"")</f>
        <v>39</v>
      </c>
      <c r="E2001" s="22" t="s">
        <v>21</v>
      </c>
      <c r="F2001" s="71" t="s">
        <v>1000</v>
      </c>
      <c r="G2001" s="41" t="s">
        <v>174</v>
      </c>
      <c r="H2001" s="42">
        <v>45611</v>
      </c>
      <c r="I2001" s="43">
        <v>0.16666666666666666</v>
      </c>
      <c r="J2001" s="35" t="s">
        <v>14</v>
      </c>
    </row>
    <row r="2002" spans="2:10">
      <c r="B2002" s="22" t="s">
        <v>140</v>
      </c>
      <c r="C2002" s="28">
        <f>IF(B2002&lt;&gt;"",VLOOKUP(B2002,Projetos!E:F,2,0),"")</f>
        <v>39</v>
      </c>
      <c r="E2002" s="22" t="s">
        <v>21</v>
      </c>
      <c r="F2002" s="71" t="s">
        <v>1000</v>
      </c>
      <c r="G2002" s="41" t="s">
        <v>174</v>
      </c>
      <c r="H2002" s="42">
        <v>45614</v>
      </c>
      <c r="I2002" s="43">
        <v>0.16666666666666666</v>
      </c>
      <c r="J2002" s="35" t="s">
        <v>14</v>
      </c>
    </row>
    <row r="2003" spans="2:10">
      <c r="B2003" s="22" t="s">
        <v>140</v>
      </c>
      <c r="C2003" s="28">
        <f>IF(B2003&lt;&gt;"",VLOOKUP(B2003,Projetos!E:F,2,0),"")</f>
        <v>39</v>
      </c>
      <c r="E2003" s="22" t="s">
        <v>21</v>
      </c>
      <c r="F2003" s="71" t="s">
        <v>1000</v>
      </c>
      <c r="G2003" s="41" t="s">
        <v>174</v>
      </c>
      <c r="H2003" s="42">
        <v>45615</v>
      </c>
      <c r="I2003" s="43">
        <v>0.16666666666666666</v>
      </c>
      <c r="J2003" s="35" t="s">
        <v>14</v>
      </c>
    </row>
    <row r="2004" spans="2:10">
      <c r="B2004" s="22" t="s">
        <v>140</v>
      </c>
      <c r="C2004" s="28">
        <f>IF(B2004&lt;&gt;"",VLOOKUP(B2004,Projetos!E:F,2,0),"")</f>
        <v>39</v>
      </c>
      <c r="E2004" s="22" t="s">
        <v>21</v>
      </c>
      <c r="F2004" s="71" t="s">
        <v>1000</v>
      </c>
      <c r="G2004" s="41" t="s">
        <v>174</v>
      </c>
      <c r="H2004" s="42">
        <v>45616</v>
      </c>
      <c r="I2004" s="43">
        <v>0.16666666666666666</v>
      </c>
      <c r="J2004" s="35" t="s">
        <v>14</v>
      </c>
    </row>
    <row r="2005" spans="2:10">
      <c r="B2005" s="22" t="s">
        <v>140</v>
      </c>
      <c r="C2005" s="28">
        <f>IF(B2005&lt;&gt;"",VLOOKUP(B2005,Projetos!E:F,2,0),"")</f>
        <v>39</v>
      </c>
      <c r="E2005" s="22" t="s">
        <v>21</v>
      </c>
      <c r="F2005" s="71" t="s">
        <v>1000</v>
      </c>
      <c r="G2005" s="41" t="s">
        <v>174</v>
      </c>
      <c r="H2005" s="42">
        <v>45617</v>
      </c>
      <c r="I2005" s="43">
        <v>0.16666666666666666</v>
      </c>
      <c r="J2005" s="35" t="s">
        <v>14</v>
      </c>
    </row>
    <row r="2006" spans="2:10">
      <c r="B2006" s="22" t="s">
        <v>140</v>
      </c>
      <c r="C2006" s="28">
        <f>IF(B2006&lt;&gt;"",VLOOKUP(B2006,Projetos!E:F,2,0),"")</f>
        <v>39</v>
      </c>
      <c r="E2006" s="22" t="s">
        <v>21</v>
      </c>
      <c r="F2006" s="71" t="s">
        <v>1000</v>
      </c>
      <c r="G2006" s="41" t="s">
        <v>174</v>
      </c>
      <c r="H2006" s="42">
        <v>45618</v>
      </c>
      <c r="I2006" s="43">
        <v>0.16666666666666666</v>
      </c>
      <c r="J2006" s="35" t="s">
        <v>14</v>
      </c>
    </row>
    <row r="2007" spans="2:10">
      <c r="B2007" s="22" t="s">
        <v>140</v>
      </c>
      <c r="C2007" s="28">
        <f>IF(B2007&lt;&gt;"",VLOOKUP(B2007,Projetos!E:F,2,0),"")</f>
        <v>39</v>
      </c>
      <c r="E2007" s="22" t="s">
        <v>21</v>
      </c>
      <c r="F2007" s="71" t="s">
        <v>1000</v>
      </c>
      <c r="G2007" s="41" t="s">
        <v>174</v>
      </c>
      <c r="H2007" s="42">
        <v>45621</v>
      </c>
      <c r="I2007" s="43">
        <v>0.16666666666666666</v>
      </c>
      <c r="J2007" s="35" t="s">
        <v>14</v>
      </c>
    </row>
    <row r="2008" spans="2:10">
      <c r="B2008" s="22" t="s">
        <v>140</v>
      </c>
      <c r="C2008" s="28">
        <f>IF(B2008&lt;&gt;"",VLOOKUP(B2008,Projetos!E:F,2,0),"")</f>
        <v>39</v>
      </c>
      <c r="E2008" s="22" t="s">
        <v>21</v>
      </c>
      <c r="F2008" s="71" t="s">
        <v>1000</v>
      </c>
      <c r="G2008" s="41" t="s">
        <v>174</v>
      </c>
      <c r="H2008" s="42">
        <v>45622</v>
      </c>
      <c r="I2008" s="43">
        <v>0.16666666666666666</v>
      </c>
      <c r="J2008" s="35" t="s">
        <v>14</v>
      </c>
    </row>
    <row r="2009" spans="2:10">
      <c r="B2009" s="26" t="s">
        <v>140</v>
      </c>
      <c r="C2009" s="60">
        <f>IF(B2009&lt;&gt;"",VLOOKUP(B2009,Projetos!E:F,2,0),"")</f>
        <v>39</v>
      </c>
      <c r="E2009" s="26" t="s">
        <v>21</v>
      </c>
      <c r="F2009" s="82" t="s">
        <v>1000</v>
      </c>
      <c r="G2009" s="41" t="s">
        <v>174</v>
      </c>
      <c r="H2009" s="125">
        <v>45623</v>
      </c>
      <c r="I2009" s="135">
        <v>0.16666666666666666</v>
      </c>
      <c r="J2009" s="35" t="s">
        <v>14</v>
      </c>
    </row>
    <row r="2010" spans="2:10">
      <c r="B2010" s="22" t="s">
        <v>156</v>
      </c>
      <c r="C2010" s="89">
        <v>3</v>
      </c>
      <c r="D2010" s="22"/>
      <c r="E2010" s="26" t="s">
        <v>21</v>
      </c>
      <c r="F2010" s="82" t="s">
        <v>1000</v>
      </c>
      <c r="G2010" s="117" t="s">
        <v>174</v>
      </c>
      <c r="H2010" s="42">
        <v>45628</v>
      </c>
      <c r="I2010" s="59">
        <v>0.33333333333333331</v>
      </c>
      <c r="J2010" s="41" t="s">
        <v>14</v>
      </c>
    </row>
    <row r="2011" spans="2:10">
      <c r="B2011" s="22" t="s">
        <v>156</v>
      </c>
      <c r="C2011" s="89">
        <v>3</v>
      </c>
      <c r="D2011" s="22"/>
      <c r="E2011" s="26" t="s">
        <v>21</v>
      </c>
      <c r="F2011" s="82" t="s">
        <v>1000</v>
      </c>
      <c r="G2011" s="117" t="s">
        <v>174</v>
      </c>
      <c r="H2011" s="42">
        <v>45629</v>
      </c>
      <c r="I2011" s="59">
        <v>0.33333333333333331</v>
      </c>
      <c r="J2011" s="41" t="s">
        <v>14</v>
      </c>
    </row>
    <row r="2012" spans="2:10">
      <c r="B2012" s="22" t="s">
        <v>156</v>
      </c>
      <c r="C2012" s="89">
        <v>3</v>
      </c>
      <c r="D2012" s="22"/>
      <c r="E2012" s="26" t="s">
        <v>21</v>
      </c>
      <c r="F2012" s="82" t="s">
        <v>1000</v>
      </c>
      <c r="G2012" s="117" t="s">
        <v>174</v>
      </c>
      <c r="H2012" s="42">
        <v>45630</v>
      </c>
      <c r="I2012" s="59">
        <v>0.33333333333333331</v>
      </c>
      <c r="J2012" s="41" t="s">
        <v>14</v>
      </c>
    </row>
    <row r="2013" spans="2:10">
      <c r="B2013" s="22" t="s">
        <v>156</v>
      </c>
      <c r="C2013" s="89">
        <v>3</v>
      </c>
      <c r="D2013" s="22"/>
      <c r="E2013" s="26" t="s">
        <v>21</v>
      </c>
      <c r="F2013" s="82" t="s">
        <v>1000</v>
      </c>
      <c r="G2013" s="117" t="s">
        <v>174</v>
      </c>
      <c r="H2013" s="42">
        <v>45631</v>
      </c>
      <c r="I2013" s="59">
        <v>0.33333333333333331</v>
      </c>
      <c r="J2013" s="41" t="s">
        <v>14</v>
      </c>
    </row>
    <row r="2014" spans="2:10">
      <c r="B2014" s="22" t="s">
        <v>156</v>
      </c>
      <c r="C2014" s="89">
        <v>3</v>
      </c>
      <c r="D2014" s="22"/>
      <c r="E2014" s="26" t="s">
        <v>21</v>
      </c>
      <c r="F2014" s="82" t="s">
        <v>1000</v>
      </c>
      <c r="G2014" s="117" t="s">
        <v>174</v>
      </c>
      <c r="H2014" s="42">
        <v>45632</v>
      </c>
      <c r="I2014" s="59">
        <v>0.33333333333333331</v>
      </c>
      <c r="J2014" s="41" t="s">
        <v>14</v>
      </c>
    </row>
    <row r="2015" spans="2:10">
      <c r="B2015" s="22" t="s">
        <v>156</v>
      </c>
      <c r="C2015" s="89">
        <v>3</v>
      </c>
      <c r="D2015" s="22"/>
      <c r="E2015" s="26" t="s">
        <v>21</v>
      </c>
      <c r="F2015" s="82" t="s">
        <v>1000</v>
      </c>
      <c r="G2015" s="117" t="s">
        <v>174</v>
      </c>
      <c r="H2015" s="42">
        <v>45635</v>
      </c>
      <c r="I2015" s="59">
        <v>0.33333333333333331</v>
      </c>
      <c r="J2015" s="41" t="s">
        <v>14</v>
      </c>
    </row>
    <row r="2016" spans="2:10">
      <c r="B2016" s="22" t="s">
        <v>156</v>
      </c>
      <c r="C2016" s="89">
        <v>3</v>
      </c>
      <c r="D2016" s="22"/>
      <c r="E2016" s="26" t="s">
        <v>21</v>
      </c>
      <c r="F2016" s="82" t="s">
        <v>1000</v>
      </c>
      <c r="G2016" s="117" t="s">
        <v>174</v>
      </c>
      <c r="H2016" s="42">
        <v>45636</v>
      </c>
      <c r="I2016" s="59">
        <v>0.33333333333333331</v>
      </c>
      <c r="J2016" s="41" t="s">
        <v>14</v>
      </c>
    </row>
    <row r="2017" spans="2:10">
      <c r="B2017" s="22" t="s">
        <v>156</v>
      </c>
      <c r="C2017" s="89">
        <v>3</v>
      </c>
      <c r="D2017" s="22"/>
      <c r="E2017" s="26" t="s">
        <v>21</v>
      </c>
      <c r="F2017" s="82" t="s">
        <v>1000</v>
      </c>
      <c r="G2017" s="117" t="s">
        <v>174</v>
      </c>
      <c r="H2017" s="42">
        <v>45637</v>
      </c>
      <c r="I2017" s="59">
        <v>0.33333333333333331</v>
      </c>
      <c r="J2017" s="41" t="s">
        <v>14</v>
      </c>
    </row>
    <row r="2018" spans="2:10">
      <c r="B2018" s="22" t="s">
        <v>156</v>
      </c>
      <c r="C2018" s="89">
        <v>3</v>
      </c>
      <c r="D2018" s="22"/>
      <c r="E2018" s="26" t="s">
        <v>21</v>
      </c>
      <c r="F2018" s="82" t="s">
        <v>1000</v>
      </c>
      <c r="G2018" s="117" t="s">
        <v>174</v>
      </c>
      <c r="H2018" s="42">
        <v>45638</v>
      </c>
      <c r="I2018" s="59">
        <v>0.33333333333333331</v>
      </c>
      <c r="J2018" s="41" t="s">
        <v>14</v>
      </c>
    </row>
    <row r="2019" spans="2:10">
      <c r="B2019" s="22" t="s">
        <v>156</v>
      </c>
      <c r="C2019" s="89">
        <v>3</v>
      </c>
      <c r="D2019" s="22"/>
      <c r="E2019" s="26" t="s">
        <v>21</v>
      </c>
      <c r="F2019" s="82" t="s">
        <v>1000</v>
      </c>
      <c r="G2019" s="117" t="s">
        <v>174</v>
      </c>
      <c r="H2019" s="42">
        <v>45639</v>
      </c>
      <c r="I2019" s="59">
        <v>0.33333333333333331</v>
      </c>
      <c r="J2019" s="41" t="s">
        <v>14</v>
      </c>
    </row>
    <row r="2020" spans="2:10">
      <c r="B2020" s="22" t="s">
        <v>156</v>
      </c>
      <c r="C2020" s="89">
        <v>3</v>
      </c>
      <c r="D2020" s="22"/>
      <c r="E2020" s="26" t="s">
        <v>21</v>
      </c>
      <c r="F2020" s="82" t="s">
        <v>1000</v>
      </c>
      <c r="G2020" s="117" t="s">
        <v>174</v>
      </c>
      <c r="H2020" s="42">
        <v>45642</v>
      </c>
      <c r="I2020" s="59">
        <v>0.33333333333333331</v>
      </c>
      <c r="J2020" s="41" t="s">
        <v>14</v>
      </c>
    </row>
    <row r="2021" spans="2:10">
      <c r="B2021" s="22" t="s">
        <v>156</v>
      </c>
      <c r="C2021" s="89">
        <v>3</v>
      </c>
      <c r="D2021" s="22"/>
      <c r="E2021" s="26" t="s">
        <v>21</v>
      </c>
      <c r="F2021" s="82" t="s">
        <v>1000</v>
      </c>
      <c r="G2021" s="117" t="s">
        <v>174</v>
      </c>
      <c r="H2021" s="42">
        <v>45643</v>
      </c>
      <c r="I2021" s="59">
        <v>0.33333333333333331</v>
      </c>
      <c r="J2021" s="41" t="s">
        <v>14</v>
      </c>
    </row>
    <row r="2022" spans="2:10">
      <c r="B2022" s="22" t="s">
        <v>156</v>
      </c>
      <c r="C2022" s="89">
        <v>3</v>
      </c>
      <c r="D2022" s="22"/>
      <c r="E2022" s="26" t="s">
        <v>21</v>
      </c>
      <c r="F2022" s="82" t="s">
        <v>1000</v>
      </c>
      <c r="G2022" s="117" t="s">
        <v>174</v>
      </c>
      <c r="H2022" s="42">
        <v>45644</v>
      </c>
      <c r="I2022" s="59">
        <v>0.33333333333333331</v>
      </c>
      <c r="J2022" s="41" t="s">
        <v>14</v>
      </c>
    </row>
    <row r="2023" spans="2:10">
      <c r="B2023" s="22" t="s">
        <v>156</v>
      </c>
      <c r="C2023" s="89">
        <v>3</v>
      </c>
      <c r="D2023" s="26"/>
      <c r="E2023" s="26" t="s">
        <v>21</v>
      </c>
      <c r="F2023" s="82" t="s">
        <v>1000</v>
      </c>
      <c r="G2023" s="117" t="s">
        <v>174</v>
      </c>
      <c r="H2023" s="42">
        <v>45645</v>
      </c>
      <c r="I2023" s="59">
        <v>0.33333333333333331</v>
      </c>
      <c r="J2023" s="41" t="s">
        <v>14</v>
      </c>
    </row>
    <row r="2024" spans="2:10">
      <c r="B2024" s="22" t="s">
        <v>156</v>
      </c>
      <c r="C2024" s="89">
        <v>3</v>
      </c>
      <c r="D2024" s="87"/>
      <c r="E2024" s="22" t="s">
        <v>21</v>
      </c>
      <c r="F2024" s="22" t="s">
        <v>1000</v>
      </c>
      <c r="G2024" s="117" t="s">
        <v>174</v>
      </c>
      <c r="H2024" s="42">
        <v>45646</v>
      </c>
      <c r="I2024" s="59">
        <v>0.33333333333333331</v>
      </c>
      <c r="J2024" s="41" t="s">
        <v>14</v>
      </c>
    </row>
    <row r="2025" spans="2:10">
      <c r="B2025" s="22" t="s">
        <v>156</v>
      </c>
      <c r="C2025" s="89">
        <v>3</v>
      </c>
      <c r="E2025" s="22" t="s">
        <v>21</v>
      </c>
      <c r="F2025" s="22" t="s">
        <v>1054</v>
      </c>
      <c r="G2025" s="117" t="s">
        <v>525</v>
      </c>
      <c r="H2025" s="42">
        <v>45670</v>
      </c>
      <c r="I2025" s="59">
        <v>4.1666666666666664E-2</v>
      </c>
      <c r="J2025" s="41" t="s">
        <v>14</v>
      </c>
    </row>
    <row r="2026" spans="2:10">
      <c r="B2026" s="22" t="s">
        <v>156</v>
      </c>
      <c r="C2026" s="89">
        <v>3</v>
      </c>
      <c r="E2026" s="22" t="s">
        <v>193</v>
      </c>
      <c r="F2026" s="22" t="s">
        <v>1055</v>
      </c>
      <c r="G2026" s="117" t="s">
        <v>525</v>
      </c>
      <c r="H2026" s="42">
        <v>45670</v>
      </c>
      <c r="I2026" s="59">
        <v>0.20833333333333334</v>
      </c>
      <c r="J2026" s="41" t="s">
        <v>14</v>
      </c>
    </row>
    <row r="2027" spans="2:10">
      <c r="B2027" s="22" t="s">
        <v>156</v>
      </c>
      <c r="C2027" s="89">
        <v>3</v>
      </c>
      <c r="D2027" s="22"/>
      <c r="E2027" s="22" t="s">
        <v>25</v>
      </c>
      <c r="F2027" s="22" t="s">
        <v>1056</v>
      </c>
      <c r="G2027" s="117" t="s">
        <v>525</v>
      </c>
      <c r="H2027" s="136">
        <v>45671</v>
      </c>
      <c r="I2027" s="59">
        <v>0.16666666666666666</v>
      </c>
      <c r="J2027" s="41" t="s">
        <v>14</v>
      </c>
    </row>
    <row r="2028" spans="2:10">
      <c r="B2028" s="22" t="s">
        <v>156</v>
      </c>
      <c r="C2028" s="89">
        <v>3</v>
      </c>
      <c r="E2028" s="22" t="s">
        <v>49</v>
      </c>
      <c r="F2028" s="22" t="s">
        <v>1057</v>
      </c>
      <c r="G2028" s="117" t="s">
        <v>525</v>
      </c>
      <c r="H2028" s="136">
        <v>45671</v>
      </c>
      <c r="I2028" s="59">
        <v>8.3333333333333329E-2</v>
      </c>
      <c r="J2028" s="41" t="s">
        <v>14</v>
      </c>
    </row>
    <row r="2029" spans="2:10">
      <c r="B2029" s="22" t="s">
        <v>140</v>
      </c>
      <c r="C2029" s="89">
        <v>3</v>
      </c>
      <c r="E2029" s="22" t="s">
        <v>49</v>
      </c>
      <c r="F2029" s="22" t="s">
        <v>1058</v>
      </c>
      <c r="G2029" s="117" t="s">
        <v>19</v>
      </c>
      <c r="H2029" s="136">
        <v>45672</v>
      </c>
      <c r="I2029" s="59">
        <v>0.29166666666666669</v>
      </c>
      <c r="J2029" s="41" t="s">
        <v>14</v>
      </c>
    </row>
    <row r="2030" spans="2:10">
      <c r="B2030" s="22" t="s">
        <v>140</v>
      </c>
      <c r="C2030" s="89">
        <v>3</v>
      </c>
      <c r="E2030" s="22" t="s">
        <v>49</v>
      </c>
      <c r="F2030" s="22" t="s">
        <v>1058</v>
      </c>
      <c r="G2030" s="117" t="s">
        <v>525</v>
      </c>
      <c r="H2030" s="136">
        <v>45672</v>
      </c>
      <c r="I2030" s="59">
        <v>0.25</v>
      </c>
      <c r="J2030" s="41" t="s">
        <v>14</v>
      </c>
    </row>
    <row r="2031" spans="2:10">
      <c r="B2031" s="22" t="s">
        <v>205</v>
      </c>
      <c r="C2031" s="28">
        <f>IF(B2031&lt;&gt;"",VLOOKUP(B2031,Projetos!E:F,2,0),"")</f>
        <v>34</v>
      </c>
      <c r="E2031" s="22" t="s">
        <v>40</v>
      </c>
      <c r="F2031" s="71" t="s">
        <v>728</v>
      </c>
      <c r="G2031" s="41" t="s">
        <v>528</v>
      </c>
      <c r="H2031" s="136">
        <v>45667</v>
      </c>
      <c r="I2031" s="59">
        <v>0.20833333333333334</v>
      </c>
      <c r="J2031" s="41" t="s">
        <v>14</v>
      </c>
    </row>
    <row r="2032" spans="2:10">
      <c r="B2032" s="22" t="s">
        <v>205</v>
      </c>
      <c r="C2032" s="28">
        <f>IF(B2032&lt;&gt;"",VLOOKUP(B2032,Projetos!E:F,2,0),"")</f>
        <v>34</v>
      </c>
      <c r="E2032" s="22" t="s">
        <v>40</v>
      </c>
      <c r="F2032" s="71" t="s">
        <v>728</v>
      </c>
      <c r="G2032" s="41" t="s">
        <v>528</v>
      </c>
      <c r="H2032" s="136">
        <v>45670</v>
      </c>
      <c r="I2032" s="59">
        <v>0.20833333333333334</v>
      </c>
      <c r="J2032" s="41" t="s">
        <v>14</v>
      </c>
    </row>
    <row r="2033" spans="2:10">
      <c r="B2033" s="22" t="s">
        <v>968</v>
      </c>
      <c r="C2033" s="28">
        <f>IF(B2033&lt;&gt;"",VLOOKUP(B2033,Projetos!E:F,2,0),"")</f>
        <v>57</v>
      </c>
      <c r="E2033" s="22" t="s">
        <v>23</v>
      </c>
      <c r="F2033" s="71" t="s">
        <v>1059</v>
      </c>
      <c r="G2033" s="41" t="s">
        <v>528</v>
      </c>
      <c r="H2033" s="136">
        <v>45671</v>
      </c>
      <c r="I2033" s="59">
        <v>0.20833333333333334</v>
      </c>
      <c r="J2033" s="41" t="s">
        <v>14</v>
      </c>
    </row>
    <row r="2034" spans="2:10">
      <c r="B2034" s="22" t="s">
        <v>138</v>
      </c>
      <c r="C2034" s="28">
        <f>IF(B2034&lt;&gt;"",VLOOKUP(B2034,Projetos!E:F,2,0),"")</f>
        <v>30</v>
      </c>
      <c r="E2034" s="22" t="s">
        <v>144</v>
      </c>
      <c r="F2034" s="71" t="s">
        <v>1060</v>
      </c>
      <c r="G2034" s="41" t="s">
        <v>528</v>
      </c>
      <c r="H2034" s="136">
        <v>45672</v>
      </c>
      <c r="I2034" s="59">
        <v>0.20833333333333334</v>
      </c>
      <c r="J2034" s="41" t="s">
        <v>14</v>
      </c>
    </row>
    <row r="2035" spans="2:10">
      <c r="B2035" s="22" t="s">
        <v>138</v>
      </c>
      <c r="C2035" s="28">
        <f>IF(B2035&lt;&gt;"",VLOOKUP(B2035,Projetos!E:F,2,0),"")</f>
        <v>30</v>
      </c>
      <c r="E2035" s="22" t="s">
        <v>144</v>
      </c>
      <c r="F2035" s="71" t="s">
        <v>1060</v>
      </c>
      <c r="G2035" s="41" t="s">
        <v>528</v>
      </c>
      <c r="H2035" s="136">
        <v>45673</v>
      </c>
      <c r="I2035" s="59">
        <v>0.20833333333333334</v>
      </c>
      <c r="J2035" s="41" t="s">
        <v>14</v>
      </c>
    </row>
    <row r="2036" spans="2:10">
      <c r="B2036" s="22" t="s">
        <v>140</v>
      </c>
      <c r="C2036" s="28">
        <f>IF(B2036&lt;&gt;"",VLOOKUP(B2036,Projetos!E:F,2,0),"")</f>
        <v>39</v>
      </c>
      <c r="E2036" s="22" t="s">
        <v>49</v>
      </c>
      <c r="F2036" s="71" t="s">
        <v>1061</v>
      </c>
      <c r="G2036" s="41" t="s">
        <v>19</v>
      </c>
      <c r="H2036" s="136">
        <v>45673</v>
      </c>
      <c r="I2036" s="59">
        <v>0.20833333333333334</v>
      </c>
      <c r="J2036" s="41" t="s">
        <v>14</v>
      </c>
    </row>
    <row r="2037" spans="2:10">
      <c r="B2037" s="22" t="s">
        <v>138</v>
      </c>
      <c r="C2037" s="28">
        <f>IF(B2037&lt;&gt;"",VLOOKUP(B2037,Projetos!E:F,2,0),"")</f>
        <v>30</v>
      </c>
      <c r="E2037" s="22" t="s">
        <v>144</v>
      </c>
      <c r="F2037" s="71" t="s">
        <v>1060</v>
      </c>
      <c r="G2037" s="41" t="s">
        <v>528</v>
      </c>
      <c r="H2037" s="136">
        <v>45674</v>
      </c>
      <c r="I2037" s="59">
        <v>0.20833333333333334</v>
      </c>
      <c r="J2037" s="41" t="s">
        <v>14</v>
      </c>
    </row>
    <row r="2038" spans="2:10">
      <c r="B2038" s="22" t="s">
        <v>140</v>
      </c>
      <c r="C2038" s="28">
        <f>IF(B2038&lt;&gt;"",VLOOKUP(B2038,Projetos!E:F,2,0),"")</f>
        <v>39</v>
      </c>
      <c r="E2038" s="22" t="s">
        <v>49</v>
      </c>
      <c r="F2038" s="71" t="s">
        <v>1061</v>
      </c>
      <c r="G2038" s="117" t="s">
        <v>525</v>
      </c>
      <c r="H2038" s="136">
        <v>45673</v>
      </c>
      <c r="I2038" s="59">
        <v>0.25</v>
      </c>
      <c r="J2038" s="41" t="s">
        <v>14</v>
      </c>
    </row>
    <row r="2039" spans="2:10">
      <c r="B2039" s="22" t="s">
        <v>138</v>
      </c>
      <c r="C2039" s="28">
        <f>IF(B2039&lt;&gt;"",VLOOKUP(B2039,Projetos!E:F,2,0),"")</f>
        <v>30</v>
      </c>
      <c r="E2039" s="22" t="s">
        <v>144</v>
      </c>
      <c r="F2039" s="71" t="s">
        <v>1060</v>
      </c>
      <c r="G2039" s="117" t="s">
        <v>525</v>
      </c>
      <c r="H2039" s="136">
        <v>45674</v>
      </c>
      <c r="I2039" s="59">
        <v>0.25</v>
      </c>
      <c r="J2039" s="41" t="s">
        <v>14</v>
      </c>
    </row>
    <row r="2040" spans="2:10">
      <c r="B2040" s="22" t="s">
        <v>138</v>
      </c>
      <c r="C2040" s="28">
        <f>IF(B2040&lt;&gt;"",VLOOKUP(B2040,Projetos!E:F,2,0),"")</f>
        <v>30</v>
      </c>
      <c r="E2040" s="22" t="s">
        <v>119</v>
      </c>
      <c r="F2040" s="22" t="s">
        <v>1062</v>
      </c>
      <c r="G2040" s="117" t="s">
        <v>525</v>
      </c>
      <c r="H2040" s="136">
        <v>45677</v>
      </c>
      <c r="I2040" s="59">
        <v>0.25</v>
      </c>
      <c r="J2040" s="41" t="s">
        <v>14</v>
      </c>
    </row>
    <row r="2041" spans="2:10">
      <c r="B2041" s="22" t="s">
        <v>138</v>
      </c>
      <c r="C2041" s="28">
        <f>IF(B2041&lt;&gt;"",VLOOKUP(B2041,Projetos!E:F,2,0),"")</f>
        <v>30</v>
      </c>
      <c r="D2041" s="22"/>
      <c r="E2041" s="22" t="s">
        <v>119</v>
      </c>
      <c r="F2041" s="22" t="s">
        <v>1062</v>
      </c>
      <c r="G2041" s="117" t="s">
        <v>525</v>
      </c>
      <c r="H2041" s="42">
        <v>45678</v>
      </c>
      <c r="I2041" s="59">
        <v>0.25</v>
      </c>
      <c r="J2041" s="41" t="s">
        <v>14</v>
      </c>
    </row>
    <row r="2042" spans="2:10">
      <c r="B2042" s="22" t="s">
        <v>138</v>
      </c>
      <c r="C2042" s="28">
        <f>IF(B2042&lt;&gt;"",VLOOKUP(B2042,Projetos!E:F,2,0),"")</f>
        <v>30</v>
      </c>
      <c r="D2042" s="22"/>
      <c r="E2042" s="22" t="s">
        <v>119</v>
      </c>
      <c r="F2042" s="22" t="s">
        <v>1062</v>
      </c>
      <c r="G2042" s="117" t="s">
        <v>525</v>
      </c>
      <c r="H2042" s="42">
        <v>45679</v>
      </c>
      <c r="I2042" s="59">
        <v>0.125</v>
      </c>
      <c r="J2042" s="41" t="s">
        <v>14</v>
      </c>
    </row>
    <row r="2043" spans="2:10">
      <c r="B2043" s="22" t="s">
        <v>138</v>
      </c>
      <c r="C2043" s="28">
        <f>IF(B2043&lt;&gt;"",VLOOKUP(B2043,Projetos!E:F,2,0),"")</f>
        <v>30</v>
      </c>
      <c r="D2043" s="22"/>
      <c r="E2043" s="22" t="s">
        <v>49</v>
      </c>
      <c r="F2043" s="22" t="s">
        <v>1063</v>
      </c>
      <c r="G2043" s="117" t="s">
        <v>525</v>
      </c>
      <c r="H2043" s="42">
        <v>45679</v>
      </c>
      <c r="I2043" s="59">
        <v>0.125</v>
      </c>
      <c r="J2043" s="41" t="s">
        <v>14</v>
      </c>
    </row>
    <row r="2044" spans="2:10">
      <c r="B2044" s="22" t="s">
        <v>138</v>
      </c>
      <c r="C2044" s="28">
        <f>IF(B2044&lt;&gt;"",VLOOKUP(B2044,Projetos!E:F,2,0),"")</f>
        <v>30</v>
      </c>
      <c r="D2044" s="22"/>
      <c r="E2044" s="22" t="s">
        <v>49</v>
      </c>
      <c r="F2044" s="22" t="s">
        <v>1063</v>
      </c>
      <c r="G2044" s="117" t="s">
        <v>525</v>
      </c>
      <c r="H2044" s="42">
        <v>45680</v>
      </c>
      <c r="I2044" s="59">
        <v>0.25</v>
      </c>
      <c r="J2044" s="41" t="s">
        <v>14</v>
      </c>
    </row>
    <row r="2045" spans="2:10">
      <c r="B2045" s="22" t="s">
        <v>138</v>
      </c>
      <c r="C2045" s="28">
        <f>IF(B2045&lt;&gt;"",VLOOKUP(B2045,Projetos!E:F,2,0),"")</f>
        <v>30</v>
      </c>
      <c r="D2045" s="22"/>
      <c r="E2045" s="22" t="s">
        <v>49</v>
      </c>
      <c r="F2045" s="22" t="s">
        <v>1063</v>
      </c>
      <c r="G2045" s="117" t="s">
        <v>525</v>
      </c>
      <c r="H2045" s="42">
        <v>45681</v>
      </c>
      <c r="I2045" s="59">
        <v>0.25</v>
      </c>
      <c r="J2045" s="41" t="s">
        <v>14</v>
      </c>
    </row>
    <row r="2046" spans="2:10">
      <c r="B2046" s="22" t="s">
        <v>138</v>
      </c>
      <c r="C2046" s="28">
        <f>IF(B2046&lt;&gt;"",VLOOKUP(B2046,Projetos!E:F,2,0),"")</f>
        <v>30</v>
      </c>
      <c r="E2046" s="22" t="s">
        <v>144</v>
      </c>
      <c r="F2046" s="71" t="s">
        <v>1060</v>
      </c>
      <c r="G2046" s="41" t="s">
        <v>528</v>
      </c>
      <c r="H2046" s="136">
        <v>45677</v>
      </c>
      <c r="I2046" s="59">
        <v>0.20833333333333334</v>
      </c>
      <c r="J2046" s="41" t="s">
        <v>14</v>
      </c>
    </row>
    <row r="2047" spans="2:10">
      <c r="B2047" s="22" t="s">
        <v>138</v>
      </c>
      <c r="C2047" s="28">
        <f>IF(B2047&lt;&gt;"",VLOOKUP(B2047,Projetos!E:F,2,0),"")</f>
        <v>30</v>
      </c>
      <c r="E2047" s="22" t="s">
        <v>144</v>
      </c>
      <c r="F2047" s="71" t="s">
        <v>1060</v>
      </c>
      <c r="G2047" s="41" t="s">
        <v>528</v>
      </c>
      <c r="H2047" s="136">
        <v>45678</v>
      </c>
      <c r="I2047" s="59">
        <v>0.20833333333333334</v>
      </c>
      <c r="J2047" s="41" t="s">
        <v>14</v>
      </c>
    </row>
    <row r="2048" spans="2:10">
      <c r="B2048" s="22" t="s">
        <v>138</v>
      </c>
      <c r="C2048" s="28">
        <f>IF(B2048&lt;&gt;"",VLOOKUP(B2048,Projetos!E:F,2,0),"")</f>
        <v>30</v>
      </c>
      <c r="E2048" s="22" t="s">
        <v>144</v>
      </c>
      <c r="F2048" s="71" t="s">
        <v>1060</v>
      </c>
      <c r="G2048" s="41" t="s">
        <v>528</v>
      </c>
      <c r="H2048" s="136">
        <v>45679</v>
      </c>
      <c r="I2048" s="59">
        <v>0.20833333333333334</v>
      </c>
      <c r="J2048" s="41" t="s">
        <v>14</v>
      </c>
    </row>
    <row r="2049" spans="2:10">
      <c r="B2049" s="22" t="s">
        <v>138</v>
      </c>
      <c r="C2049" s="28">
        <f>IF(B2049&lt;&gt;"",VLOOKUP(B2049,Projetos!E:F,2,0),"")</f>
        <v>30</v>
      </c>
      <c r="D2049" s="22"/>
      <c r="E2049" s="22" t="s">
        <v>49</v>
      </c>
      <c r="F2049" s="22" t="s">
        <v>1063</v>
      </c>
      <c r="G2049" s="117" t="s">
        <v>528</v>
      </c>
      <c r="H2049" s="42">
        <v>45680</v>
      </c>
      <c r="I2049" s="59">
        <v>0.20833333333333334</v>
      </c>
      <c r="J2049" s="41" t="s">
        <v>14</v>
      </c>
    </row>
    <row r="2050" spans="2:10">
      <c r="B2050" s="22" t="s">
        <v>138</v>
      </c>
      <c r="C2050" s="28">
        <f>IF(B2050&lt;&gt;"",VLOOKUP(B2050,Projetos!E:F,2,0),"")</f>
        <v>30</v>
      </c>
      <c r="D2050" s="22"/>
      <c r="E2050" s="22" t="s">
        <v>49</v>
      </c>
      <c r="F2050" s="22" t="s">
        <v>1063</v>
      </c>
      <c r="G2050" s="117" t="s">
        <v>528</v>
      </c>
      <c r="H2050" s="42">
        <v>45681</v>
      </c>
      <c r="I2050" s="59">
        <v>0.20833333333333334</v>
      </c>
      <c r="J2050" s="41" t="s">
        <v>14</v>
      </c>
    </row>
    <row r="2051" spans="2:10">
      <c r="B2051" s="22" t="s">
        <v>138</v>
      </c>
      <c r="C2051" s="28">
        <f>IF(B2051&lt;&gt;"",VLOOKUP(B2051,Projetos!E:F,2,0),"")</f>
        <v>30</v>
      </c>
      <c r="D2051" s="22"/>
      <c r="E2051" s="22" t="s">
        <v>49</v>
      </c>
      <c r="F2051" s="22" t="s">
        <v>1063</v>
      </c>
      <c r="G2051" s="117" t="s">
        <v>528</v>
      </c>
      <c r="H2051" s="42">
        <v>45684</v>
      </c>
      <c r="I2051" s="59">
        <v>0.20833333333333334</v>
      </c>
      <c r="J2051" s="41" t="s">
        <v>14</v>
      </c>
    </row>
    <row r="2052" spans="2:10">
      <c r="B2052" s="22" t="s">
        <v>138</v>
      </c>
      <c r="C2052" s="28">
        <f>IF(B2052&lt;&gt;"",VLOOKUP(B2052,Projetos!E:F,2,0),"")</f>
        <v>30</v>
      </c>
      <c r="D2052" s="22"/>
      <c r="E2052" s="22" t="s">
        <v>49</v>
      </c>
      <c r="F2052" s="22" t="s">
        <v>1063</v>
      </c>
      <c r="G2052" s="117" t="s">
        <v>525</v>
      </c>
      <c r="H2052" s="42">
        <v>45684</v>
      </c>
      <c r="I2052" s="59">
        <v>0.25</v>
      </c>
      <c r="J2052" s="41" t="s">
        <v>14</v>
      </c>
    </row>
    <row r="2053" spans="2:10">
      <c r="B2053" s="22" t="s">
        <v>138</v>
      </c>
      <c r="C2053" s="28">
        <f>IF(B2053&lt;&gt;"",VLOOKUP(B2053,Projetos!E:F,2,0),"")</f>
        <v>30</v>
      </c>
      <c r="D2053" s="22"/>
      <c r="E2053" s="22" t="s">
        <v>49</v>
      </c>
      <c r="F2053" s="22" t="s">
        <v>1063</v>
      </c>
      <c r="G2053" s="117" t="s">
        <v>525</v>
      </c>
      <c r="H2053" s="42">
        <v>45685</v>
      </c>
      <c r="I2053" s="59">
        <v>0.25</v>
      </c>
      <c r="J2053" s="41" t="s">
        <v>14</v>
      </c>
    </row>
    <row r="2054" spans="2:10">
      <c r="B2054" s="22" t="s">
        <v>138</v>
      </c>
      <c r="C2054" s="28">
        <f>IF(B2054&lt;&gt;"",VLOOKUP(B2054,Projetos!E:F,2,0),"")</f>
        <v>30</v>
      </c>
      <c r="E2054" s="22" t="s">
        <v>144</v>
      </c>
      <c r="F2054" s="71" t="s">
        <v>1060</v>
      </c>
      <c r="G2054" s="41" t="s">
        <v>528</v>
      </c>
      <c r="H2054" s="136">
        <v>45685</v>
      </c>
      <c r="I2054" s="59">
        <v>0.20833333333333334</v>
      </c>
      <c r="J2054" s="41" t="s">
        <v>14</v>
      </c>
    </row>
    <row r="2055" spans="2:10">
      <c r="B2055" s="22" t="s">
        <v>138</v>
      </c>
      <c r="C2055" s="28">
        <f>IF(B2055&lt;&gt;"",VLOOKUP(B2055,Projetos!E:F,2,0),"")</f>
        <v>30</v>
      </c>
      <c r="E2055" s="22" t="s">
        <v>144</v>
      </c>
      <c r="F2055" s="71" t="s">
        <v>1060</v>
      </c>
      <c r="G2055" s="41" t="s">
        <v>528</v>
      </c>
      <c r="H2055" s="136">
        <v>45686</v>
      </c>
      <c r="I2055" s="59">
        <v>0.20833333333333334</v>
      </c>
      <c r="J2055" s="41" t="s">
        <v>14</v>
      </c>
    </row>
    <row r="2056" spans="2:10">
      <c r="B2056" s="22" t="s">
        <v>138</v>
      </c>
      <c r="C2056" s="28">
        <f>IF(B2056&lt;&gt;"",VLOOKUP(B2056,Projetos!E:F,2,0),"")</f>
        <v>30</v>
      </c>
      <c r="D2056" s="22"/>
      <c r="E2056" s="22" t="s">
        <v>49</v>
      </c>
      <c r="F2056" s="22" t="s">
        <v>1063</v>
      </c>
      <c r="G2056" s="117" t="s">
        <v>525</v>
      </c>
      <c r="H2056" s="136">
        <v>45686</v>
      </c>
      <c r="I2056" s="59">
        <v>0.25</v>
      </c>
      <c r="J2056" s="41" t="s">
        <v>14</v>
      </c>
    </row>
    <row r="2057" spans="2:10">
      <c r="B2057" s="22" t="s">
        <v>138</v>
      </c>
      <c r="C2057" s="28">
        <f>IF(B2057&lt;&gt;"",VLOOKUP(B2057,Projetos!E:F,2,0),"")</f>
        <v>30</v>
      </c>
      <c r="D2057" s="22"/>
      <c r="E2057" s="22" t="s">
        <v>49</v>
      </c>
      <c r="F2057" s="22" t="s">
        <v>1063</v>
      </c>
      <c r="G2057" s="117" t="s">
        <v>525</v>
      </c>
      <c r="H2057" s="136">
        <v>45687</v>
      </c>
      <c r="I2057" s="59">
        <v>0.25</v>
      </c>
      <c r="J2057" s="41" t="s">
        <v>14</v>
      </c>
    </row>
    <row r="2058" spans="2:10">
      <c r="B2058" s="22" t="s">
        <v>138</v>
      </c>
      <c r="C2058" s="28">
        <f>IF(B2058&lt;&gt;"",VLOOKUP(B2058,Projetos!E:F,2,0),"")</f>
        <v>30</v>
      </c>
      <c r="D2058" s="22"/>
      <c r="E2058" s="22" t="s">
        <v>49</v>
      </c>
      <c r="F2058" s="22" t="s">
        <v>1063</v>
      </c>
      <c r="G2058" s="117" t="s">
        <v>525</v>
      </c>
      <c r="H2058" s="136">
        <v>45688</v>
      </c>
      <c r="I2058" s="59">
        <v>0.25</v>
      </c>
      <c r="J2058" s="41" t="s">
        <v>14</v>
      </c>
    </row>
    <row r="2059" spans="2:10" ht="17.25" customHeight="1">
      <c r="B2059" s="22" t="s">
        <v>138</v>
      </c>
      <c r="C2059" s="28">
        <f>IF(B2059&lt;&gt;"",VLOOKUP(B2059,Projetos!E:F,2,0),"")</f>
        <v>30</v>
      </c>
      <c r="D2059" s="22"/>
      <c r="E2059" s="22" t="s">
        <v>49</v>
      </c>
      <c r="F2059" s="22" t="s">
        <v>1063</v>
      </c>
      <c r="G2059" s="117" t="s">
        <v>525</v>
      </c>
      <c r="H2059" s="136">
        <v>45691</v>
      </c>
      <c r="I2059" s="59">
        <v>0.25</v>
      </c>
      <c r="J2059" s="137" t="s">
        <v>14</v>
      </c>
    </row>
    <row r="2060" spans="2:10">
      <c r="B2060" s="22" t="s">
        <v>138</v>
      </c>
      <c r="C2060" s="28">
        <f>IF(B2060&lt;&gt;"",VLOOKUP(B2060,Projetos!E:F,2,0),"")</f>
        <v>30</v>
      </c>
      <c r="D2060" s="22"/>
      <c r="E2060" s="22" t="s">
        <v>49</v>
      </c>
      <c r="F2060" s="22" t="s">
        <v>1063</v>
      </c>
      <c r="G2060" s="117" t="s">
        <v>525</v>
      </c>
      <c r="H2060" s="136">
        <v>45692</v>
      </c>
      <c r="I2060" s="59">
        <v>0.25</v>
      </c>
      <c r="J2060" s="137" t="s">
        <v>14</v>
      </c>
    </row>
    <row r="2061" spans="2:10">
      <c r="B2061" s="26" t="s">
        <v>10</v>
      </c>
      <c r="C2061" s="60">
        <f>IF(B2061&lt;&gt;"",VLOOKUP(B2061,Projetos!E:F,2,0),"")</f>
        <v>2</v>
      </c>
      <c r="D2061" s="26"/>
      <c r="E2061" s="26" t="s">
        <v>23</v>
      </c>
      <c r="F2061" s="26" t="s">
        <v>1064</v>
      </c>
      <c r="G2061" s="128" t="s">
        <v>525</v>
      </c>
      <c r="H2061" s="136">
        <v>45693</v>
      </c>
      <c r="I2061" s="118">
        <v>0.25</v>
      </c>
      <c r="J2061" s="137" t="s">
        <v>14</v>
      </c>
    </row>
    <row r="2062" spans="2:10">
      <c r="B2062" s="22" t="s">
        <v>138</v>
      </c>
      <c r="C2062" s="28">
        <f>IF(B2062&lt;&gt;"",VLOOKUP(B2062,Projetos!E:F,2,0),"")</f>
        <v>30</v>
      </c>
      <c r="D2062" s="35"/>
      <c r="E2062" s="22" t="s">
        <v>49</v>
      </c>
      <c r="F2062" s="22" t="s">
        <v>1063</v>
      </c>
      <c r="G2062" s="128" t="s">
        <v>525</v>
      </c>
      <c r="H2062" s="138">
        <v>45694</v>
      </c>
      <c r="I2062" s="118">
        <v>0.25</v>
      </c>
      <c r="J2062" s="137" t="s">
        <v>14</v>
      </c>
    </row>
    <row r="2063" spans="2:10">
      <c r="B2063" s="22" t="s">
        <v>138</v>
      </c>
      <c r="C2063" s="28">
        <f>IF(B2063&lt;&gt;"",VLOOKUP(B2063,Projetos!E:F,2,0),"")</f>
        <v>30</v>
      </c>
      <c r="E2063" s="22" t="s">
        <v>144</v>
      </c>
      <c r="F2063" s="71" t="s">
        <v>1060</v>
      </c>
      <c r="G2063" s="41" t="s">
        <v>528</v>
      </c>
      <c r="H2063" s="136">
        <v>45687</v>
      </c>
      <c r="I2063" s="59">
        <v>0.20833333333333334</v>
      </c>
      <c r="J2063" s="41" t="s">
        <v>14</v>
      </c>
    </row>
    <row r="2064" spans="2:10">
      <c r="B2064" s="22" t="s">
        <v>138</v>
      </c>
      <c r="C2064" s="28">
        <f>IF(B2064&lt;&gt;"",VLOOKUP(B2064,Projetos!E:F,2,0),"")</f>
        <v>30</v>
      </c>
      <c r="E2064" s="22" t="s">
        <v>144</v>
      </c>
      <c r="F2064" s="71" t="s">
        <v>1060</v>
      </c>
      <c r="G2064" s="41" t="s">
        <v>528</v>
      </c>
      <c r="H2064" s="136">
        <v>45688</v>
      </c>
      <c r="I2064" s="59">
        <v>0.20833333333333334</v>
      </c>
      <c r="J2064" s="41" t="s">
        <v>14</v>
      </c>
    </row>
    <row r="2065" spans="2:10">
      <c r="B2065" s="22" t="s">
        <v>138</v>
      </c>
      <c r="C2065" s="28">
        <f>IF(B2065&lt;&gt;"",VLOOKUP(B2065,Projetos!E:F,2,0),"")</f>
        <v>30</v>
      </c>
      <c r="E2065" s="22" t="s">
        <v>144</v>
      </c>
      <c r="F2065" s="71" t="s">
        <v>1060</v>
      </c>
      <c r="G2065" s="41" t="s">
        <v>528</v>
      </c>
      <c r="H2065" s="136">
        <v>45691</v>
      </c>
      <c r="I2065" s="59">
        <v>0.20833333333333334</v>
      </c>
      <c r="J2065" s="41" t="s">
        <v>14</v>
      </c>
    </row>
    <row r="2066" spans="2:10">
      <c r="B2066" s="22" t="s">
        <v>138</v>
      </c>
      <c r="C2066" s="28">
        <f>IF(B2066&lt;&gt;"",VLOOKUP(B2066,Projetos!E:F,2,0),"")</f>
        <v>30</v>
      </c>
      <c r="E2066" s="22" t="s">
        <v>144</v>
      </c>
      <c r="F2066" s="71" t="s">
        <v>1060</v>
      </c>
      <c r="G2066" s="41" t="s">
        <v>528</v>
      </c>
      <c r="H2066" s="136">
        <v>45692</v>
      </c>
      <c r="I2066" s="59">
        <v>0.20833333333333334</v>
      </c>
      <c r="J2066" s="41" t="s">
        <v>14</v>
      </c>
    </row>
    <row r="2067" spans="2:10">
      <c r="B2067" s="22" t="s">
        <v>138</v>
      </c>
      <c r="C2067" s="28">
        <f>IF(B2067&lt;&gt;"",VLOOKUP(B2067,Projetos!E:F,2,0),"")</f>
        <v>30</v>
      </c>
      <c r="E2067" s="22" t="s">
        <v>144</v>
      </c>
      <c r="F2067" s="71" t="s">
        <v>1060</v>
      </c>
      <c r="G2067" s="41" t="s">
        <v>528</v>
      </c>
      <c r="H2067" s="136">
        <v>45693</v>
      </c>
      <c r="I2067" s="59">
        <v>0.20833333333333334</v>
      </c>
      <c r="J2067" s="41" t="s">
        <v>14</v>
      </c>
    </row>
    <row r="2068" spans="2:10">
      <c r="B2068" s="22" t="s">
        <v>138</v>
      </c>
      <c r="C2068" s="28">
        <f>IF(B2068&lt;&gt;"",VLOOKUP(B2068,Projetos!E:F,2,0),"")</f>
        <v>30</v>
      </c>
      <c r="E2068" s="22" t="s">
        <v>144</v>
      </c>
      <c r="F2068" s="71" t="s">
        <v>1060</v>
      </c>
      <c r="G2068" s="41" t="s">
        <v>528</v>
      </c>
      <c r="H2068" s="136">
        <v>45694</v>
      </c>
      <c r="I2068" s="59">
        <v>0.20833333333333334</v>
      </c>
      <c r="J2068" s="41" t="s">
        <v>14</v>
      </c>
    </row>
    <row r="2069" spans="2:10">
      <c r="B2069" s="22" t="s">
        <v>138</v>
      </c>
      <c r="C2069" s="28">
        <f>IF(B2069&lt;&gt;"",VLOOKUP(B2069,Projetos!E:F,2,0),"")</f>
        <v>30</v>
      </c>
      <c r="E2069" s="22" t="s">
        <v>144</v>
      </c>
      <c r="F2069" s="71" t="s">
        <v>1060</v>
      </c>
      <c r="G2069" s="41" t="s">
        <v>528</v>
      </c>
      <c r="H2069" s="136">
        <v>45695</v>
      </c>
      <c r="I2069" s="59">
        <v>0.20833333333333334</v>
      </c>
      <c r="J2069" s="41" t="s">
        <v>14</v>
      </c>
    </row>
    <row r="2070" spans="2:10">
      <c r="B2070" s="22" t="s">
        <v>138</v>
      </c>
      <c r="C2070" s="28">
        <f>IF(B2070&lt;&gt;"",VLOOKUP(B2070,Projetos!E:F,2,0),"")</f>
        <v>30</v>
      </c>
      <c r="E2070" s="22" t="s">
        <v>144</v>
      </c>
      <c r="F2070" s="71" t="s">
        <v>1060</v>
      </c>
      <c r="G2070" s="128" t="s">
        <v>525</v>
      </c>
      <c r="H2070" s="136">
        <v>45695</v>
      </c>
      <c r="I2070" s="118">
        <v>0.25</v>
      </c>
      <c r="J2070" s="41" t="s">
        <v>14</v>
      </c>
    </row>
    <row r="2071" spans="2:10">
      <c r="B2071" s="22" t="s">
        <v>138</v>
      </c>
      <c r="C2071" s="28">
        <f>IF(B2071&lt;&gt;"",VLOOKUP(B2071,Projetos!E:F,2,0),"")</f>
        <v>30</v>
      </c>
      <c r="E2071" s="22" t="s">
        <v>144</v>
      </c>
      <c r="F2071" s="71" t="s">
        <v>1060</v>
      </c>
      <c r="G2071" s="136" t="s">
        <v>525</v>
      </c>
      <c r="H2071" s="136">
        <v>45698</v>
      </c>
      <c r="I2071" s="118">
        <v>0.25</v>
      </c>
      <c r="J2071" s="41" t="s">
        <v>14</v>
      </c>
    </row>
    <row r="2072" spans="2:10">
      <c r="B2072" s="71" t="s">
        <v>10</v>
      </c>
      <c r="C2072" s="139">
        <f>IF(B2072&lt;&gt;"",VLOOKUP(B2072,Projetos!E:F,2,0),"")</f>
        <v>2</v>
      </c>
      <c r="D2072" s="71"/>
      <c r="E2072" s="71" t="s">
        <v>23</v>
      </c>
      <c r="F2072" s="71" t="s">
        <v>1064</v>
      </c>
      <c r="G2072" s="136" t="s">
        <v>525</v>
      </c>
      <c r="H2072" s="136">
        <v>45699</v>
      </c>
      <c r="I2072" s="42" t="s">
        <v>1065</v>
      </c>
      <c r="J2072" s="41" t="s">
        <v>14</v>
      </c>
    </row>
    <row r="2073" spans="2:10">
      <c r="B2073" s="22" t="s">
        <v>138</v>
      </c>
      <c r="C2073" s="28">
        <f>IF(B2073&lt;&gt;"",VLOOKUP(B2073,Projetos!E:F,2,0),"")</f>
        <v>30</v>
      </c>
      <c r="D2073" s="71"/>
      <c r="E2073" s="71" t="s">
        <v>31</v>
      </c>
      <c r="F2073" s="71" t="s">
        <v>1066</v>
      </c>
      <c r="G2073" s="136" t="s">
        <v>525</v>
      </c>
      <c r="H2073" s="136">
        <v>45700</v>
      </c>
      <c r="I2073" s="42" t="s">
        <v>1065</v>
      </c>
      <c r="J2073" s="41" t="s">
        <v>14</v>
      </c>
    </row>
    <row r="2074" spans="2:10">
      <c r="B2074" s="22" t="s">
        <v>138</v>
      </c>
      <c r="C2074" s="28">
        <f>IF(B2074&lt;&gt;"",VLOOKUP(B2074,Projetos!E:F,2,0),"")</f>
        <v>30</v>
      </c>
      <c r="D2074" s="71"/>
      <c r="E2074" s="22" t="s">
        <v>144</v>
      </c>
      <c r="F2074" s="71" t="s">
        <v>1060</v>
      </c>
      <c r="G2074" s="136" t="s">
        <v>525</v>
      </c>
      <c r="H2074" s="136">
        <v>45701</v>
      </c>
      <c r="I2074" s="42" t="s">
        <v>1065</v>
      </c>
      <c r="J2074" s="41" t="s">
        <v>14</v>
      </c>
    </row>
    <row r="2075" spans="2:10">
      <c r="B2075" s="22" t="s">
        <v>138</v>
      </c>
      <c r="C2075" s="28">
        <f>IF(B2075&lt;&gt;"",VLOOKUP(B2075,Projetos!E:F,2,0),"")</f>
        <v>30</v>
      </c>
      <c r="D2075" s="71"/>
      <c r="E2075" s="22" t="s">
        <v>144</v>
      </c>
      <c r="F2075" s="71" t="s">
        <v>1067</v>
      </c>
      <c r="G2075" s="136" t="s">
        <v>525</v>
      </c>
      <c r="H2075" s="136">
        <v>45702</v>
      </c>
      <c r="I2075" s="59">
        <v>0.125</v>
      </c>
      <c r="J2075" s="41" t="s">
        <v>14</v>
      </c>
    </row>
    <row r="2076" spans="2:10">
      <c r="B2076" s="22" t="s">
        <v>138</v>
      </c>
      <c r="C2076" s="28">
        <f>IF(B2076&lt;&gt;"",VLOOKUP(B2076,Projetos!E:F,2,0),"")</f>
        <v>30</v>
      </c>
      <c r="D2076" s="71"/>
      <c r="E2076" s="22" t="s">
        <v>16</v>
      </c>
      <c r="F2076" s="71" t="s">
        <v>1068</v>
      </c>
      <c r="G2076" s="136" t="s">
        <v>525</v>
      </c>
      <c r="H2076" s="136">
        <v>45702</v>
      </c>
      <c r="I2076" s="59">
        <v>0.125</v>
      </c>
      <c r="J2076" s="41" t="s">
        <v>14</v>
      </c>
    </row>
    <row r="2077" spans="2:10">
      <c r="B2077" s="22" t="s">
        <v>138</v>
      </c>
      <c r="C2077" s="28">
        <f>IF(B2077&lt;&gt;"",VLOOKUP(B2077,Projetos!E:F,2,0),"")</f>
        <v>30</v>
      </c>
      <c r="D2077" s="71"/>
      <c r="E2077" s="22" t="s">
        <v>144</v>
      </c>
      <c r="F2077" s="22" t="s">
        <v>1069</v>
      </c>
      <c r="G2077" s="136" t="s">
        <v>525</v>
      </c>
      <c r="H2077" s="136">
        <v>45705</v>
      </c>
      <c r="I2077" s="59">
        <v>0.20833333333333334</v>
      </c>
      <c r="J2077" s="41" t="s">
        <v>14</v>
      </c>
    </row>
    <row r="2078" spans="2:10" ht="30">
      <c r="B2078" s="22" t="s">
        <v>138</v>
      </c>
      <c r="C2078" s="28">
        <f>IF(B2078&lt;&gt;"",VLOOKUP(B2078,Projetos!E:F,2,0),"")</f>
        <v>30</v>
      </c>
      <c r="E2078" s="22" t="s">
        <v>16</v>
      </c>
      <c r="F2078" s="71" t="s">
        <v>1070</v>
      </c>
      <c r="G2078" s="136" t="s">
        <v>525</v>
      </c>
      <c r="H2078" s="136">
        <v>45705</v>
      </c>
      <c r="I2078" s="59">
        <v>4.1666666666666664E-2</v>
      </c>
      <c r="J2078" s="41" t="s">
        <v>14</v>
      </c>
    </row>
    <row r="2079" spans="2:10">
      <c r="B2079" s="22" t="s">
        <v>30</v>
      </c>
      <c r="C2079" s="28">
        <f>IF(B2079&lt;&gt;"",VLOOKUP(B2079,Projetos!E:F,2,0),"")</f>
        <v>13</v>
      </c>
      <c r="E2079" s="22" t="s">
        <v>23</v>
      </c>
      <c r="F2079" s="71" t="s">
        <v>1071</v>
      </c>
      <c r="G2079" s="136" t="s">
        <v>525</v>
      </c>
      <c r="H2079" s="136">
        <v>45706</v>
      </c>
      <c r="I2079" s="59">
        <v>0.25</v>
      </c>
      <c r="J2079" s="41" t="s">
        <v>14</v>
      </c>
    </row>
    <row r="2080" spans="2:10">
      <c r="B2080" s="22" t="s">
        <v>61</v>
      </c>
      <c r="C2080" s="28">
        <f>IF(B2080&lt;&gt;"",VLOOKUP(B2080,Projetos!E:F,2,0),"")</f>
        <v>11</v>
      </c>
      <c r="E2080" s="22" t="s">
        <v>144</v>
      </c>
      <c r="F2080" s="71" t="s">
        <v>1072</v>
      </c>
      <c r="G2080" s="136" t="s">
        <v>528</v>
      </c>
      <c r="H2080" s="136">
        <v>45706</v>
      </c>
      <c r="I2080" s="59">
        <v>0.20833333333333334</v>
      </c>
      <c r="J2080" s="41" t="s">
        <v>14</v>
      </c>
    </row>
    <row r="2081" spans="2:10">
      <c r="B2081" s="22" t="s">
        <v>138</v>
      </c>
      <c r="C2081" s="28">
        <f>IF(B2081&lt;&gt;"",VLOOKUP(B2081,Projetos!E:F,2,0),"")</f>
        <v>30</v>
      </c>
      <c r="E2081" s="22" t="s">
        <v>144</v>
      </c>
      <c r="F2081" s="71" t="s">
        <v>1060</v>
      </c>
      <c r="G2081" s="41" t="s">
        <v>528</v>
      </c>
      <c r="H2081" s="136">
        <v>45698</v>
      </c>
      <c r="I2081" s="59">
        <v>0.20833333333333334</v>
      </c>
      <c r="J2081" s="41" t="s">
        <v>14</v>
      </c>
    </row>
    <row r="2082" spans="2:10">
      <c r="B2082" s="22" t="s">
        <v>138</v>
      </c>
      <c r="C2082" s="28">
        <f>IF(B2082&lt;&gt;"",VLOOKUP(B2082,Projetos!E:F,2,0),"")</f>
        <v>30</v>
      </c>
      <c r="E2082" s="22" t="s">
        <v>144</v>
      </c>
      <c r="F2082" s="71" t="s">
        <v>1060</v>
      </c>
      <c r="G2082" s="41" t="s">
        <v>528</v>
      </c>
      <c r="H2082" s="136">
        <v>45699</v>
      </c>
      <c r="I2082" s="59">
        <v>0.20833333333333334</v>
      </c>
      <c r="J2082" s="41" t="s">
        <v>14</v>
      </c>
    </row>
    <row r="2083" spans="2:10">
      <c r="B2083" s="22" t="s">
        <v>138</v>
      </c>
      <c r="C2083" s="28">
        <f>IF(B2083&lt;&gt;"",VLOOKUP(B2083,Projetos!E:F,2,0),"")</f>
        <v>30</v>
      </c>
      <c r="E2083" s="22" t="s">
        <v>144</v>
      </c>
      <c r="F2083" s="71" t="s">
        <v>1060</v>
      </c>
      <c r="G2083" s="41" t="s">
        <v>528</v>
      </c>
      <c r="H2083" s="136">
        <v>45700</v>
      </c>
      <c r="I2083" s="59">
        <v>0.20833333333333334</v>
      </c>
      <c r="J2083" s="41" t="s">
        <v>14</v>
      </c>
    </row>
    <row r="2084" spans="2:10">
      <c r="B2084" s="22" t="s">
        <v>138</v>
      </c>
      <c r="C2084" s="28">
        <f>IF(B2084&lt;&gt;"",VLOOKUP(B2084,Projetos!E:F,2,0),"")</f>
        <v>30</v>
      </c>
      <c r="E2084" s="22" t="s">
        <v>144</v>
      </c>
      <c r="F2084" s="71" t="s">
        <v>1060</v>
      </c>
      <c r="G2084" s="41" t="s">
        <v>528</v>
      </c>
      <c r="H2084" s="136">
        <v>45701</v>
      </c>
      <c r="I2084" s="59">
        <v>0.20833333333333334</v>
      </c>
      <c r="J2084" s="41" t="s">
        <v>14</v>
      </c>
    </row>
    <row r="2085" spans="2:10">
      <c r="B2085" s="22" t="s">
        <v>138</v>
      </c>
      <c r="C2085" s="28">
        <f>IF(B2085&lt;&gt;"",VLOOKUP(B2085,Projetos!E:F,2,0),"")</f>
        <v>30</v>
      </c>
      <c r="E2085" s="22" t="s">
        <v>144</v>
      </c>
      <c r="F2085" s="71" t="s">
        <v>1060</v>
      </c>
      <c r="G2085" s="41" t="s">
        <v>528</v>
      </c>
      <c r="H2085" s="136">
        <v>45702</v>
      </c>
      <c r="I2085" s="59">
        <v>0.20833333333333334</v>
      </c>
      <c r="J2085" s="41" t="s">
        <v>14</v>
      </c>
    </row>
    <row r="2086" spans="2:10">
      <c r="B2086" s="22" t="s">
        <v>138</v>
      </c>
      <c r="C2086" s="28">
        <f>IF(B2086&lt;&gt;"",VLOOKUP(B2086,Projetos!E:F,2,0),"")</f>
        <v>30</v>
      </c>
      <c r="E2086" s="22" t="s">
        <v>144</v>
      </c>
      <c r="F2086" s="71" t="s">
        <v>1073</v>
      </c>
      <c r="G2086" s="41" t="s">
        <v>528</v>
      </c>
      <c r="H2086" s="136">
        <v>45705</v>
      </c>
      <c r="I2086" s="59">
        <v>0.20833333333333334</v>
      </c>
      <c r="J2086" s="41" t="s">
        <v>14</v>
      </c>
    </row>
    <row r="2087" spans="2:10">
      <c r="B2087" s="22" t="s">
        <v>138</v>
      </c>
      <c r="C2087" s="28">
        <f>IF(B2087&lt;&gt;"",VLOOKUP(B2087,Projetos!E:F,2,0),"")</f>
        <v>30</v>
      </c>
      <c r="E2087" s="22" t="s">
        <v>23</v>
      </c>
      <c r="F2087" s="71" t="s">
        <v>1074</v>
      </c>
      <c r="G2087" s="41" t="s">
        <v>528</v>
      </c>
      <c r="H2087" s="136">
        <v>45708</v>
      </c>
      <c r="I2087" s="59">
        <v>0.14583333333333334</v>
      </c>
      <c r="J2087" s="41" t="s">
        <v>14</v>
      </c>
    </row>
    <row r="2088" spans="2:10" ht="30">
      <c r="B2088" s="71" t="s">
        <v>61</v>
      </c>
      <c r="C2088" s="28">
        <f>IF(B2088&lt;&gt;"",VLOOKUP(B2088,Projetos!E:F,2,0),"")</f>
        <v>11</v>
      </c>
      <c r="E2088" s="22" t="s">
        <v>16</v>
      </c>
      <c r="F2088" s="71" t="s">
        <v>1075</v>
      </c>
      <c r="G2088" s="41" t="s">
        <v>528</v>
      </c>
      <c r="H2088" s="136">
        <v>45708</v>
      </c>
      <c r="I2088" s="59">
        <v>6.25E-2</v>
      </c>
      <c r="J2088" s="41" t="s">
        <v>14</v>
      </c>
    </row>
    <row r="2089" spans="2:10">
      <c r="B2089" s="22" t="s">
        <v>138</v>
      </c>
      <c r="C2089" s="28">
        <f>IF(B2089&lt;&gt;"",VLOOKUP(B2089,Projetos!E:F,2,0),"")</f>
        <v>30</v>
      </c>
      <c r="E2089" s="22" t="s">
        <v>49</v>
      </c>
      <c r="F2089" s="71" t="s">
        <v>1076</v>
      </c>
      <c r="G2089" s="41" t="s">
        <v>528</v>
      </c>
      <c r="H2089" s="136">
        <v>45707</v>
      </c>
      <c r="I2089" s="59">
        <v>0.125</v>
      </c>
      <c r="J2089" s="41" t="s">
        <v>14</v>
      </c>
    </row>
    <row r="2090" spans="2:10">
      <c r="B2090" s="22" t="s">
        <v>192</v>
      </c>
      <c r="C2090" s="28">
        <f>IF(B2090&lt;&gt;"",VLOOKUP(B2090,Projetos!E:F,2,0),"")</f>
        <v>32</v>
      </c>
      <c r="E2090" s="22" t="s">
        <v>193</v>
      </c>
      <c r="F2090" s="71" t="s">
        <v>1077</v>
      </c>
      <c r="G2090" s="41" t="s">
        <v>528</v>
      </c>
      <c r="H2090" s="136">
        <v>45707</v>
      </c>
      <c r="I2090" s="59">
        <v>8.3333333333333329E-2</v>
      </c>
      <c r="J2090" s="41" t="s">
        <v>14</v>
      </c>
    </row>
    <row r="2091" spans="2:10">
      <c r="B2091" s="22" t="s">
        <v>138</v>
      </c>
      <c r="C2091" s="28">
        <f>IF(B2091&lt;&gt;"",VLOOKUP(B2091,Projetos!E:F,2,0),"")</f>
        <v>30</v>
      </c>
      <c r="E2091" s="22" t="s">
        <v>144</v>
      </c>
      <c r="F2091" s="22" t="s">
        <v>1063</v>
      </c>
      <c r="G2091" s="41" t="s">
        <v>525</v>
      </c>
      <c r="H2091" s="136">
        <v>45708</v>
      </c>
      <c r="I2091" s="59">
        <v>0.25</v>
      </c>
      <c r="J2091" s="41" t="s">
        <v>14</v>
      </c>
    </row>
    <row r="2092" spans="2:10">
      <c r="B2092" s="22" t="s">
        <v>138</v>
      </c>
      <c r="C2092" s="28">
        <f>IF(B2092&lt;&gt;"",VLOOKUP(B2092,Projetos!E:F,2,0),"")</f>
        <v>30</v>
      </c>
      <c r="E2092" s="22" t="s">
        <v>144</v>
      </c>
      <c r="F2092" s="22" t="s">
        <v>1063</v>
      </c>
      <c r="G2092" s="41" t="s">
        <v>525</v>
      </c>
      <c r="H2092" s="136">
        <v>45707</v>
      </c>
      <c r="I2092" s="59">
        <v>0.25</v>
      </c>
      <c r="J2092" s="41" t="s">
        <v>14</v>
      </c>
    </row>
    <row r="2093" spans="2:10">
      <c r="B2093" s="22" t="s">
        <v>30</v>
      </c>
      <c r="C2093" s="28">
        <f>IF(B2093&lt;&gt;"",VLOOKUP(B2093,Projetos!E:F,2,0),"")</f>
        <v>13</v>
      </c>
      <c r="E2093" s="22" t="s">
        <v>23</v>
      </c>
      <c r="F2093" s="71" t="s">
        <v>1071</v>
      </c>
      <c r="G2093" s="136" t="s">
        <v>525</v>
      </c>
      <c r="H2093" s="136">
        <v>45709</v>
      </c>
      <c r="I2093" s="59">
        <v>0.25</v>
      </c>
      <c r="J2093" s="41" t="s">
        <v>14</v>
      </c>
    </row>
    <row r="2094" spans="2:10">
      <c r="B2094" s="22" t="s">
        <v>30</v>
      </c>
      <c r="C2094" s="28">
        <f>IF(B2094&lt;&gt;"",VLOOKUP(B2094,Projetos!E:F,2,0),"")</f>
        <v>13</v>
      </c>
      <c r="E2094" s="22" t="s">
        <v>23</v>
      </c>
      <c r="F2094" s="71" t="s">
        <v>1071</v>
      </c>
      <c r="G2094" s="41" t="s">
        <v>525</v>
      </c>
      <c r="H2094" s="136">
        <v>45712</v>
      </c>
      <c r="I2094" s="59"/>
      <c r="J2094" s="41" t="s">
        <v>900</v>
      </c>
    </row>
    <row r="2095" spans="2:10">
      <c r="B2095" s="22" t="s">
        <v>138</v>
      </c>
      <c r="C2095" s="28">
        <f>IF(B2095&lt;&gt;"",VLOOKUP(B2095,Projetos!E:F,2,0),"")</f>
        <v>30</v>
      </c>
      <c r="E2095" s="22" t="s">
        <v>144</v>
      </c>
      <c r="F2095" s="71" t="s">
        <v>1060</v>
      </c>
      <c r="G2095" s="41" t="s">
        <v>528</v>
      </c>
      <c r="H2095" s="136">
        <v>45708</v>
      </c>
      <c r="I2095" s="59">
        <v>0.20833333333333334</v>
      </c>
      <c r="J2095" s="41" t="s">
        <v>14</v>
      </c>
    </row>
    <row r="2096" spans="2:10">
      <c r="B2096" s="22" t="s">
        <v>138</v>
      </c>
      <c r="C2096" s="28">
        <f>IF(B2096&lt;&gt;"",VLOOKUP(B2096,Projetos!E:F,2,0),"")</f>
        <v>30</v>
      </c>
      <c r="E2096" s="22" t="s">
        <v>144</v>
      </c>
      <c r="F2096" s="71" t="s">
        <v>1060</v>
      </c>
      <c r="G2096" s="41" t="s">
        <v>528</v>
      </c>
      <c r="H2096" s="136">
        <v>45709</v>
      </c>
      <c r="I2096" s="59">
        <v>0.20833333333333334</v>
      </c>
      <c r="J2096" s="41" t="s">
        <v>14</v>
      </c>
    </row>
    <row r="2097" spans="2:10">
      <c r="B2097" s="22" t="s">
        <v>138</v>
      </c>
      <c r="C2097" s="28">
        <f>IF(B2097&lt;&gt;"",VLOOKUP(B2097,Projetos!E:F,2,0),"")</f>
        <v>30</v>
      </c>
      <c r="E2097" s="22" t="s">
        <v>144</v>
      </c>
      <c r="F2097" s="71" t="s">
        <v>1060</v>
      </c>
      <c r="G2097" s="41" t="s">
        <v>528</v>
      </c>
      <c r="H2097" s="136">
        <v>45712</v>
      </c>
      <c r="I2097" s="59">
        <v>0.20833333333333334</v>
      </c>
      <c r="J2097" s="41" t="s">
        <v>14</v>
      </c>
    </row>
    <row r="2098" spans="2:10">
      <c r="B2098" s="22" t="s">
        <v>138</v>
      </c>
      <c r="C2098" s="28">
        <f>IF(B2098&lt;&gt;"",VLOOKUP(B2098,Projetos!E:F,2,0),"")</f>
        <v>30</v>
      </c>
      <c r="E2098" s="22" t="s">
        <v>144</v>
      </c>
      <c r="F2098" s="71" t="s">
        <v>1060</v>
      </c>
      <c r="G2098" s="41" t="s">
        <v>528</v>
      </c>
      <c r="H2098" s="136">
        <v>45713</v>
      </c>
      <c r="I2098" s="59">
        <v>0.20833333333333334</v>
      </c>
      <c r="J2098" s="41" t="s">
        <v>14</v>
      </c>
    </row>
    <row r="2099" spans="2:10">
      <c r="B2099" s="22" t="s">
        <v>30</v>
      </c>
      <c r="C2099" s="28">
        <f>IF(B2099&lt;&gt;"",VLOOKUP(B2099,Projetos!E:F,2,0),"")</f>
        <v>13</v>
      </c>
      <c r="E2099" s="22" t="s">
        <v>23</v>
      </c>
      <c r="F2099" s="71" t="s">
        <v>1071</v>
      </c>
      <c r="G2099" s="136" t="s">
        <v>19</v>
      </c>
      <c r="H2099" s="136">
        <v>45709</v>
      </c>
      <c r="I2099" s="59">
        <v>0.25</v>
      </c>
      <c r="J2099" s="41" t="s">
        <v>14</v>
      </c>
    </row>
    <row r="2100" spans="2:10">
      <c r="B2100" s="22" t="s">
        <v>30</v>
      </c>
      <c r="C2100" s="28">
        <f>IF(B2100&lt;&gt;"",VLOOKUP(B2100,Projetos!E:F,2,0),"")</f>
        <v>13</v>
      </c>
      <c r="E2100" s="22" t="s">
        <v>23</v>
      </c>
      <c r="F2100" s="71" t="s">
        <v>1071</v>
      </c>
      <c r="G2100" s="41" t="s">
        <v>19</v>
      </c>
      <c r="H2100" s="136">
        <v>45712</v>
      </c>
      <c r="I2100" s="59">
        <v>0.25</v>
      </c>
      <c r="J2100" s="41" t="s">
        <v>14</v>
      </c>
    </row>
    <row r="2101" spans="2:10">
      <c r="B2101" s="22" t="s">
        <v>294</v>
      </c>
      <c r="C2101" s="28">
        <f>IF(B2101&lt;&gt;"",VLOOKUP(B2101,Projetos!E:F,2,0),"")</f>
        <v>26</v>
      </c>
      <c r="E2101" s="22" t="s">
        <v>23</v>
      </c>
      <c r="F2101" s="71" t="s">
        <v>1078</v>
      </c>
      <c r="G2101" s="41" t="s">
        <v>19</v>
      </c>
      <c r="H2101" s="136">
        <v>45713</v>
      </c>
      <c r="I2101" s="59">
        <v>0.25</v>
      </c>
      <c r="J2101" s="41" t="s">
        <v>14</v>
      </c>
    </row>
    <row r="2102" spans="2:10">
      <c r="B2102" s="22" t="s">
        <v>192</v>
      </c>
      <c r="C2102" s="28">
        <f>IF(B2102&lt;&gt;"",VLOOKUP(B2102,Projetos!E:F,2,0),"")</f>
        <v>32</v>
      </c>
      <c r="E2102" s="22" t="s">
        <v>193</v>
      </c>
      <c r="F2102" s="71" t="s">
        <v>1079</v>
      </c>
      <c r="G2102" s="41" t="s">
        <v>528</v>
      </c>
      <c r="H2102" s="136">
        <v>45714</v>
      </c>
      <c r="I2102" s="59">
        <v>0.20833333333333334</v>
      </c>
      <c r="J2102" s="41" t="s">
        <v>14</v>
      </c>
    </row>
    <row r="2103" spans="2:10">
      <c r="B2103" s="22" t="s">
        <v>192</v>
      </c>
      <c r="C2103" s="28">
        <f>IF(B2103&lt;&gt;"",VLOOKUP(B2103,Projetos!E:F,2,0),"")</f>
        <v>32</v>
      </c>
      <c r="E2103" s="22" t="s">
        <v>193</v>
      </c>
      <c r="F2103" s="71" t="s">
        <v>1079</v>
      </c>
      <c r="G2103" s="41" t="s">
        <v>528</v>
      </c>
      <c r="H2103" s="136">
        <v>45715</v>
      </c>
      <c r="I2103" s="59">
        <v>0.20833333333333334</v>
      </c>
      <c r="J2103" s="41" t="s">
        <v>14</v>
      </c>
    </row>
    <row r="2104" spans="2:10">
      <c r="B2104" s="22" t="s">
        <v>192</v>
      </c>
      <c r="C2104" s="28">
        <f>IF(B2104&lt;&gt;"",VLOOKUP(B2104,Projetos!E:F,2,0),"")</f>
        <v>32</v>
      </c>
      <c r="E2104" s="22" t="s">
        <v>193</v>
      </c>
      <c r="F2104" s="71" t="s">
        <v>1079</v>
      </c>
      <c r="G2104" s="41" t="s">
        <v>528</v>
      </c>
      <c r="H2104" s="136">
        <v>45716</v>
      </c>
      <c r="I2104" s="59">
        <v>0.20833333333333334</v>
      </c>
      <c r="J2104" s="41" t="s">
        <v>14</v>
      </c>
    </row>
    <row r="2105" spans="2:10">
      <c r="B2105" s="22" t="s">
        <v>138</v>
      </c>
      <c r="C2105" s="28">
        <f>IF(B2105&lt;&gt;"",VLOOKUP(B2105,Projetos!E:F,2,0),"")</f>
        <v>30</v>
      </c>
      <c r="E2105" s="22" t="s">
        <v>144</v>
      </c>
      <c r="F2105" s="71" t="s">
        <v>1060</v>
      </c>
      <c r="G2105" s="41" t="s">
        <v>528</v>
      </c>
      <c r="H2105" s="140">
        <v>45721</v>
      </c>
      <c r="I2105" s="59">
        <v>0.20833333333333334</v>
      </c>
      <c r="J2105" s="41" t="s">
        <v>14</v>
      </c>
    </row>
    <row r="2106" spans="2:10">
      <c r="B2106" s="22"/>
      <c r="C2106" s="28" t="str">
        <f>IF(B2106&lt;&gt;"",VLOOKUP(B2106,Projetos!E:F,2,0),"")</f>
        <v/>
      </c>
      <c r="E2106" s="22"/>
      <c r="F2106" s="71"/>
      <c r="G2106" s="41"/>
      <c r="H2106" s="136"/>
      <c r="I2106" s="59"/>
      <c r="J2106" s="41"/>
    </row>
    <row r="2107" spans="2:10">
      <c r="B2107" s="22"/>
      <c r="C2107" s="28" t="str">
        <f>IF(B2107&lt;&gt;"",VLOOKUP(B2107,Projetos!E:F,2,0),"")</f>
        <v/>
      </c>
      <c r="E2107" s="22"/>
      <c r="F2107" s="71"/>
      <c r="G2107" s="41"/>
      <c r="H2107" s="136"/>
      <c r="I2107" s="59"/>
      <c r="J2107" s="41"/>
    </row>
    <row r="2108" spans="2:10">
      <c r="B2108" s="22"/>
      <c r="C2108" s="28" t="str">
        <f>IF(B2108&lt;&gt;"",VLOOKUP(B2108,Projetos!E:F,2,0),"")</f>
        <v/>
      </c>
      <c r="E2108" s="22"/>
      <c r="F2108" s="71"/>
      <c r="G2108" s="41"/>
      <c r="H2108" s="136"/>
      <c r="I2108" s="59"/>
      <c r="J2108" s="41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CD85E64D-5754-49C2-A1FE-B92FB397C59D}">
          <x14:formula1>
            <xm:f>'Subetapas do projeto'!$D$3:$D$187</xm:f>
          </x14:formula1>
          <xm:sqref>E731:E732</xm:sqref>
        </x14:dataValidation>
        <x14:dataValidation type="list" allowBlank="1" showInputMessage="1" showErrorMessage="1" xr:uid="{0D54CB68-851F-480F-9D95-FE3DE106DED4}">
          <x14:formula1>
            <xm:f>Projetos!$E$3:$E$7</xm:f>
          </x14:formula1>
          <xm:sqref>B2:B116</xm:sqref>
        </x14:dataValidation>
        <x14:dataValidation type="list" allowBlank="1" showInputMessage="1" showErrorMessage="1" xr:uid="{42C88E3E-7978-43B4-8374-2BCB2BD5D972}">
          <x14:formula1>
            <xm:f>'Etapas Macro'!$A$2:$A$11</xm:f>
          </x14:formula1>
          <xm:sqref>E2:E19 E21:E252 E254 E256 E258 E260 E262 E265:E380</xm:sqref>
        </x14:dataValidation>
        <x14:dataValidation type="list" allowBlank="1" showInputMessage="1" showErrorMessage="1" xr:uid="{8C3D5339-39B5-47E4-9137-64C7CBAB4ACD}">
          <x14:formula1>
            <xm:f>'Etapas Macro'!$A$2:$A$13</xm:f>
          </x14:formula1>
          <xm:sqref>E20 E381:E530</xm:sqref>
        </x14:dataValidation>
        <x14:dataValidation type="list" allowBlank="1" showInputMessage="1" showErrorMessage="1" xr:uid="{50C0221D-54D7-4BF4-8C0B-AC9094EA18D9}">
          <x14:formula1>
            <xm:f>Projetos!$E$3:$E$14</xm:f>
          </x14:formula1>
          <xm:sqref>B381:B427</xm:sqref>
        </x14:dataValidation>
        <x14:dataValidation type="list" allowBlank="1" showInputMessage="1" showErrorMessage="1" xr:uid="{EBE74B07-61B0-4198-95E1-D101BBFB0E55}">
          <x14:formula1>
            <xm:f>Projetos!$E$3:$E$121</xm:f>
          </x14:formula1>
          <xm:sqref>B428:B529 B531:B537 B603:B647 B549:B601 B547 B539:B544 B649:B2108</xm:sqref>
        </x14:dataValidation>
        <x14:dataValidation type="list" allowBlank="1" showInputMessage="1" showErrorMessage="1" xr:uid="{083C2CB1-B548-476C-9AC6-8B5C77325A65}">
          <x14:formula1>
            <xm:f>Projetos!$E$3:$E$50</xm:f>
          </x14:formula1>
          <xm:sqref>B530 B548 B545</xm:sqref>
        </x14:dataValidation>
        <x14:dataValidation type="list" allowBlank="1" showInputMessage="1" showErrorMessage="1" xr:uid="{D1943CD5-DCDE-40C5-B4D8-6C31834C7574}">
          <x14:formula1>
            <xm:f>'Etapas Macro'!$A$2:$A$17</xm:f>
          </x14:formula1>
          <xm:sqref>E531:E544 E546:E600</xm:sqref>
        </x14:dataValidation>
        <x14:dataValidation type="list" allowBlank="1" showInputMessage="1" showErrorMessage="1" xr:uid="{BF8E8C5E-1677-4EDE-90DA-6D564EB72FB6}">
          <x14:formula1>
            <xm:f>'Etapas Macro'!$A$2:$A$15</xm:f>
          </x14:formula1>
          <xm:sqref>E545</xm:sqref>
        </x14:dataValidation>
        <x14:dataValidation type="list" allowBlank="1" showInputMessage="1" showErrorMessage="1" xr:uid="{376F183B-0FD7-4422-A485-B0447F3051DE}">
          <x14:formula1>
            <xm:f>'Etapas Macro'!$A$2:$A$19</xm:f>
          </x14:formula1>
          <xm:sqref>E601:E686</xm:sqref>
        </x14:dataValidation>
        <x14:dataValidation type="list" allowBlank="1" showInputMessage="1" showErrorMessage="1" xr:uid="{18D5072F-9AE1-43F0-BE00-A5C4D8D84896}">
          <x14:formula1>
            <xm:f>'Etapas Macro'!$A$2:$A$21</xm:f>
          </x14:formula1>
          <xm:sqref>E687:E730 D1705:D1708 D1844:D1845 E733:E1843 E1846:E2039 E2043:E2108</xm:sqref>
        </x14:dataValidation>
        <x14:dataValidation type="list" allowBlank="1" showInputMessage="1" showErrorMessage="1" xr:uid="{2820BFC6-9805-4AF9-BBEE-CB7C6BBA676F}">
          <x14:formula1>
            <xm:f>Projetos!$E$3:$E$21</xm:f>
          </x14:formula1>
          <xm:sqref>B117:B380</xm:sqref>
        </x14:dataValidation>
        <x14:dataValidation type="list" allowBlank="1" showInputMessage="1" showErrorMessage="1" xr:uid="{BC1C8B6B-2255-4AF6-B14B-A92B4F71A79B}">
          <x14:formula1>
            <xm:f>'Tabela Hora x Custo Colaborador'!$D$3:$D$14</xm:f>
          </x14:formula1>
          <xm:sqref>G1034:G1036 G2:G1030</xm:sqref>
        </x14:dataValidation>
        <x14:dataValidation type="list" allowBlank="1" showInputMessage="1" showErrorMessage="1" xr:uid="{3DA8D1DE-CF87-4DC9-802E-87C55D02C65B}">
          <x14:formula1>
            <xm:f>'Status do Projeto'!$B$3:$B$6</xm:f>
          </x14:formula1>
          <xm:sqref>K1039 J2:J2108</xm:sqref>
        </x14:dataValidation>
        <x14:dataValidation type="list" allowBlank="1" showInputMessage="1" showErrorMessage="1" xr:uid="{75D36F90-0296-4A4A-9B9B-5D8727717FE2}">
          <x14:formula1>
            <xm:f>'Tabela Hora x Custo Colaborador'!$D$3:$D$16</xm:f>
          </x14:formula1>
          <xm:sqref>G1031:G1033 G1037:G2108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7471-6F21-4E52-925D-32CEEF8BEB65}">
  <sheetPr filterMode="1"/>
  <dimension ref="A2:P76"/>
  <sheetViews>
    <sheetView showGridLines="0" zoomScaleNormal="100" workbookViewId="0">
      <selection activeCell="B60" sqref="B60"/>
    </sheetView>
  </sheetViews>
  <sheetFormatPr defaultRowHeight="15" customHeight="1"/>
  <cols>
    <col min="2" max="2" width="18.28515625" customWidth="1"/>
    <col min="3" max="3" width="22.85546875" customWidth="1"/>
    <col min="4" max="4" width="17.28515625" customWidth="1"/>
    <col min="5" max="5" width="45.42578125" customWidth="1"/>
    <col min="6" max="6" width="12.140625" style="3" customWidth="1"/>
    <col min="7" max="7" width="30.42578125" style="3" hidden="1" customWidth="1"/>
    <col min="8" max="8" width="15.140625" customWidth="1"/>
    <col min="9" max="9" width="14.28515625" customWidth="1"/>
    <col min="10" max="10" width="15.28515625" style="18" customWidth="1"/>
    <col min="11" max="11" width="15.7109375" customWidth="1"/>
    <col min="12" max="12" width="19.5703125" customWidth="1"/>
    <col min="13" max="13" width="20.5703125" hidden="1" customWidth="1"/>
    <col min="14" max="14" width="21" customWidth="1"/>
    <col min="15" max="15" width="14.85546875" customWidth="1"/>
    <col min="16" max="16" width="17.42578125" customWidth="1"/>
  </cols>
  <sheetData>
    <row r="2" spans="1:16" s="1" customFormat="1" ht="36" customHeight="1">
      <c r="A2" s="2" t="s">
        <v>1080</v>
      </c>
      <c r="B2" s="2" t="s">
        <v>1081</v>
      </c>
      <c r="C2" s="2" t="s">
        <v>1082</v>
      </c>
      <c r="D2" s="2" t="s">
        <v>1083</v>
      </c>
      <c r="E2" s="2" t="s">
        <v>0</v>
      </c>
      <c r="F2" s="2" t="s">
        <v>1084</v>
      </c>
      <c r="G2" s="2" t="s">
        <v>1085</v>
      </c>
      <c r="H2" s="2" t="s">
        <v>1086</v>
      </c>
      <c r="I2" s="2" t="s">
        <v>1087</v>
      </c>
      <c r="J2" s="17" t="s">
        <v>1088</v>
      </c>
      <c r="K2" s="2" t="s">
        <v>8</v>
      </c>
      <c r="L2" s="2" t="s">
        <v>1089</v>
      </c>
      <c r="M2" s="2" t="s">
        <v>1090</v>
      </c>
      <c r="N2" s="2" t="s">
        <v>1091</v>
      </c>
      <c r="O2" s="2" t="s">
        <v>1092</v>
      </c>
      <c r="P2" s="2" t="s">
        <v>1093</v>
      </c>
    </row>
    <row r="3" spans="1:16" hidden="1">
      <c r="A3" s="35">
        <v>1</v>
      </c>
      <c r="B3" s="35" t="s">
        <v>1094</v>
      </c>
      <c r="C3" s="36" t="s">
        <v>1095</v>
      </c>
      <c r="D3" s="5" t="s">
        <v>20</v>
      </c>
      <c r="E3" s="4" t="s">
        <v>85</v>
      </c>
      <c r="F3" s="5">
        <v>1</v>
      </c>
      <c r="G3" s="5"/>
      <c r="H3" s="10">
        <v>45402</v>
      </c>
      <c r="I3" s="10">
        <v>45427</v>
      </c>
      <c r="J3" s="20">
        <v>108</v>
      </c>
      <c r="K3" s="5" t="s">
        <v>14</v>
      </c>
      <c r="L3" s="27">
        <v>3780</v>
      </c>
      <c r="M3" s="4"/>
      <c r="N3" s="5" t="s">
        <v>1096</v>
      </c>
      <c r="O3" s="5" t="s">
        <v>119</v>
      </c>
      <c r="P3" s="4" t="s">
        <v>1097</v>
      </c>
    </row>
    <row r="4" spans="1:16" hidden="1">
      <c r="A4" s="35">
        <v>1</v>
      </c>
      <c r="B4" s="35" t="s">
        <v>1094</v>
      </c>
      <c r="C4" s="37" t="s">
        <v>1095</v>
      </c>
      <c r="D4" s="5" t="s">
        <v>20</v>
      </c>
      <c r="E4" s="4" t="s">
        <v>10</v>
      </c>
      <c r="F4" s="5">
        <v>2</v>
      </c>
      <c r="G4" s="4" t="s">
        <v>1098</v>
      </c>
      <c r="H4" s="12">
        <v>45301</v>
      </c>
      <c r="I4" s="12">
        <v>45382</v>
      </c>
      <c r="J4" s="20">
        <v>528</v>
      </c>
      <c r="K4" s="5" t="s">
        <v>900</v>
      </c>
      <c r="L4" s="27">
        <v>18480</v>
      </c>
      <c r="M4" s="4"/>
      <c r="N4" s="5" t="s">
        <v>1096</v>
      </c>
      <c r="O4" s="5" t="s">
        <v>119</v>
      </c>
      <c r="P4" s="4" t="s">
        <v>1097</v>
      </c>
    </row>
    <row r="5" spans="1:16">
      <c r="A5" s="35">
        <v>1</v>
      </c>
      <c r="B5" s="35" t="s">
        <v>1094</v>
      </c>
      <c r="C5" s="38" t="s">
        <v>1099</v>
      </c>
      <c r="D5" s="19" t="s">
        <v>19</v>
      </c>
      <c r="E5" s="4" t="s">
        <v>156</v>
      </c>
      <c r="F5" s="5">
        <v>3</v>
      </c>
      <c r="G5" s="79" t="s">
        <v>1100</v>
      </c>
      <c r="H5" s="12">
        <v>45432</v>
      </c>
      <c r="I5" s="12">
        <v>45443</v>
      </c>
      <c r="J5" s="20">
        <v>480</v>
      </c>
      <c r="K5" s="5" t="s">
        <v>900</v>
      </c>
      <c r="L5" s="27">
        <v>20000</v>
      </c>
      <c r="M5" s="4"/>
      <c r="N5" s="5" t="s">
        <v>1096</v>
      </c>
      <c r="O5" s="5" t="s">
        <v>144</v>
      </c>
      <c r="P5" s="4" t="s">
        <v>1101</v>
      </c>
    </row>
    <row r="6" spans="1:16" hidden="1">
      <c r="A6" s="35">
        <v>1</v>
      </c>
      <c r="B6" s="35" t="s">
        <v>1094</v>
      </c>
      <c r="C6" s="39" t="s">
        <v>1095</v>
      </c>
      <c r="D6" s="5" t="s">
        <v>20</v>
      </c>
      <c r="E6" s="4" t="s">
        <v>63</v>
      </c>
      <c r="F6" s="5">
        <v>4</v>
      </c>
      <c r="G6" s="5"/>
      <c r="H6" s="12">
        <v>45343</v>
      </c>
      <c r="I6" s="12">
        <v>45348</v>
      </c>
      <c r="J6" s="20">
        <v>8</v>
      </c>
      <c r="K6" s="5" t="s">
        <v>14</v>
      </c>
      <c r="L6" s="27">
        <v>520</v>
      </c>
      <c r="M6" s="4"/>
      <c r="N6" s="5" t="s">
        <v>1096</v>
      </c>
      <c r="O6" s="5" t="s">
        <v>119</v>
      </c>
      <c r="P6" s="4" t="s">
        <v>1102</v>
      </c>
    </row>
    <row r="7" spans="1:16" hidden="1">
      <c r="A7" s="35">
        <v>1</v>
      </c>
      <c r="B7" s="35" t="s">
        <v>1094</v>
      </c>
      <c r="C7" s="39" t="s">
        <v>1095</v>
      </c>
      <c r="D7" s="5" t="s">
        <v>20</v>
      </c>
      <c r="E7" s="4" t="s">
        <v>43</v>
      </c>
      <c r="F7" s="5">
        <v>5</v>
      </c>
      <c r="G7" s="5"/>
      <c r="H7" s="12">
        <v>45330</v>
      </c>
      <c r="I7" s="12">
        <v>45338</v>
      </c>
      <c r="J7" s="20">
        <v>6</v>
      </c>
      <c r="K7" s="5" t="s">
        <v>14</v>
      </c>
      <c r="L7" s="27">
        <v>390</v>
      </c>
      <c r="M7" s="4"/>
      <c r="N7" s="5" t="s">
        <v>1096</v>
      </c>
      <c r="O7" s="5" t="s">
        <v>1103</v>
      </c>
      <c r="P7" s="4" t="s">
        <v>1104</v>
      </c>
    </row>
    <row r="8" spans="1:16" hidden="1">
      <c r="A8" s="35">
        <v>1</v>
      </c>
      <c r="B8" s="35" t="s">
        <v>1094</v>
      </c>
      <c r="C8" s="36" t="s">
        <v>1095</v>
      </c>
      <c r="D8" s="5" t="s">
        <v>20</v>
      </c>
      <c r="E8" s="4" t="s">
        <v>56</v>
      </c>
      <c r="F8" s="5">
        <v>6</v>
      </c>
      <c r="G8" s="5"/>
      <c r="H8" s="12">
        <v>45336</v>
      </c>
      <c r="I8" s="12">
        <v>45338</v>
      </c>
      <c r="J8" s="20">
        <v>11</v>
      </c>
      <c r="K8" s="5" t="s">
        <v>14</v>
      </c>
      <c r="L8" s="27">
        <v>715</v>
      </c>
      <c r="M8" s="4"/>
      <c r="N8" s="5" t="s">
        <v>1096</v>
      </c>
      <c r="O8" s="5" t="s">
        <v>1103</v>
      </c>
      <c r="P8" s="4" t="s">
        <v>1104</v>
      </c>
    </row>
    <row r="9" spans="1:16" hidden="1">
      <c r="A9" s="35">
        <v>1</v>
      </c>
      <c r="B9" s="35" t="s">
        <v>1094</v>
      </c>
      <c r="C9" s="36" t="s">
        <v>1095</v>
      </c>
      <c r="D9" s="5" t="s">
        <v>20</v>
      </c>
      <c r="E9" s="4" t="s">
        <v>47</v>
      </c>
      <c r="F9" s="5">
        <v>7</v>
      </c>
      <c r="G9" s="5"/>
      <c r="H9" s="12">
        <v>45331</v>
      </c>
      <c r="I9" s="12">
        <v>45337</v>
      </c>
      <c r="J9" s="20">
        <v>5</v>
      </c>
      <c r="K9" s="5" t="s">
        <v>14</v>
      </c>
      <c r="L9" s="27">
        <v>325</v>
      </c>
      <c r="M9" s="4"/>
      <c r="N9" s="5" t="s">
        <v>1096</v>
      </c>
      <c r="O9" s="5" t="s">
        <v>1103</v>
      </c>
      <c r="P9" s="4" t="s">
        <v>1104</v>
      </c>
    </row>
    <row r="10" spans="1:16" hidden="1">
      <c r="A10" s="35">
        <v>1</v>
      </c>
      <c r="B10" s="35" t="s">
        <v>1094</v>
      </c>
      <c r="C10" s="36" t="s">
        <v>1095</v>
      </c>
      <c r="D10" s="5" t="s">
        <v>20</v>
      </c>
      <c r="E10" s="4" t="s">
        <v>60</v>
      </c>
      <c r="F10" s="5">
        <v>8</v>
      </c>
      <c r="G10" s="5"/>
      <c r="H10" s="12">
        <v>45340</v>
      </c>
      <c r="I10" s="12">
        <v>45341</v>
      </c>
      <c r="J10" s="20">
        <v>5</v>
      </c>
      <c r="K10" s="5" t="s">
        <v>14</v>
      </c>
      <c r="L10" s="27">
        <v>325</v>
      </c>
      <c r="M10" s="4"/>
      <c r="N10" s="5" t="s">
        <v>1096</v>
      </c>
      <c r="O10" s="5" t="s">
        <v>1103</v>
      </c>
      <c r="P10" s="4" t="s">
        <v>1104</v>
      </c>
    </row>
    <row r="11" spans="1:16" hidden="1">
      <c r="A11" s="35">
        <v>1</v>
      </c>
      <c r="B11" s="35" t="s">
        <v>1094</v>
      </c>
      <c r="C11" s="36" t="s">
        <v>1095</v>
      </c>
      <c r="D11" s="5" t="s">
        <v>20</v>
      </c>
      <c r="E11" s="4" t="s">
        <v>35</v>
      </c>
      <c r="F11" s="5">
        <v>9</v>
      </c>
      <c r="G11" s="5"/>
      <c r="H11" s="12">
        <v>45313</v>
      </c>
      <c r="I11" s="12">
        <v>45345</v>
      </c>
      <c r="J11" s="20">
        <v>37</v>
      </c>
      <c r="K11" s="5" t="s">
        <v>14</v>
      </c>
      <c r="L11" s="27">
        <v>2405</v>
      </c>
      <c r="M11" s="4"/>
      <c r="N11" s="5" t="s">
        <v>1096</v>
      </c>
      <c r="O11" s="5" t="s">
        <v>1103</v>
      </c>
      <c r="P11" s="4" t="s">
        <v>1102</v>
      </c>
    </row>
    <row r="12" spans="1:16">
      <c r="A12" s="35">
        <v>1</v>
      </c>
      <c r="B12" s="35" t="s">
        <v>1094</v>
      </c>
      <c r="C12" s="36" t="s">
        <v>1099</v>
      </c>
      <c r="D12" s="5" t="s">
        <v>19</v>
      </c>
      <c r="E12" s="4" t="s">
        <v>15</v>
      </c>
      <c r="F12" s="5">
        <v>10</v>
      </c>
      <c r="G12" s="5"/>
      <c r="H12" s="12">
        <v>45301</v>
      </c>
      <c r="I12" s="12">
        <v>45427</v>
      </c>
      <c r="J12" s="20">
        <v>596</v>
      </c>
      <c r="K12" s="5" t="s">
        <v>14</v>
      </c>
      <c r="L12" s="27">
        <v>32780</v>
      </c>
      <c r="M12" s="4"/>
      <c r="N12" s="5" t="s">
        <v>1096</v>
      </c>
      <c r="O12" s="5" t="s">
        <v>1103</v>
      </c>
      <c r="P12" s="4" t="s">
        <v>1105</v>
      </c>
    </row>
    <row r="13" spans="1:16" hidden="1">
      <c r="A13" s="35">
        <v>1</v>
      </c>
      <c r="B13" s="35" t="s">
        <v>1094</v>
      </c>
      <c r="C13" s="36" t="s">
        <v>1095</v>
      </c>
      <c r="D13" s="5" t="s">
        <v>20</v>
      </c>
      <c r="E13" s="4" t="s">
        <v>61</v>
      </c>
      <c r="F13" s="5">
        <v>11</v>
      </c>
      <c r="G13" s="5"/>
      <c r="H13" s="12">
        <v>45313</v>
      </c>
      <c r="I13" s="12">
        <v>45387</v>
      </c>
      <c r="J13" s="20">
        <v>264</v>
      </c>
      <c r="K13" s="5" t="s">
        <v>14</v>
      </c>
      <c r="L13" s="27">
        <v>9240</v>
      </c>
      <c r="M13" s="4"/>
      <c r="N13" s="5" t="s">
        <v>1096</v>
      </c>
      <c r="O13" s="5" t="s">
        <v>1103</v>
      </c>
      <c r="P13" s="4" t="s">
        <v>1106</v>
      </c>
    </row>
    <row r="14" spans="1:16" hidden="1">
      <c r="A14" s="35">
        <v>1</v>
      </c>
      <c r="B14" s="35" t="s">
        <v>1094</v>
      </c>
      <c r="C14" s="36" t="s">
        <v>1107</v>
      </c>
      <c r="D14" s="5" t="s">
        <v>64</v>
      </c>
      <c r="E14" s="4" t="s">
        <v>72</v>
      </c>
      <c r="F14" s="5">
        <v>12</v>
      </c>
      <c r="G14" s="5"/>
      <c r="H14" s="12">
        <v>45369</v>
      </c>
      <c r="I14" s="12">
        <v>45380</v>
      </c>
      <c r="J14" s="20">
        <v>129</v>
      </c>
      <c r="K14" s="5" t="s">
        <v>14</v>
      </c>
      <c r="L14" s="27">
        <v>4515</v>
      </c>
      <c r="M14" s="4"/>
      <c r="N14" s="5" t="s">
        <v>1096</v>
      </c>
      <c r="O14" s="5" t="s">
        <v>1108</v>
      </c>
      <c r="P14" s="4" t="s">
        <v>1105</v>
      </c>
    </row>
    <row r="15" spans="1:16">
      <c r="A15" s="35">
        <v>1</v>
      </c>
      <c r="B15" s="35" t="s">
        <v>1094</v>
      </c>
      <c r="C15" s="36" t="s">
        <v>1099</v>
      </c>
      <c r="D15" s="5" t="s">
        <v>19</v>
      </c>
      <c r="E15" s="4" t="s">
        <v>30</v>
      </c>
      <c r="F15" s="5">
        <v>13</v>
      </c>
      <c r="G15" s="44"/>
      <c r="H15" s="12">
        <v>45371</v>
      </c>
      <c r="I15" s="12">
        <v>45402</v>
      </c>
      <c r="J15" s="20">
        <v>331</v>
      </c>
      <c r="K15" s="5" t="s">
        <v>14</v>
      </c>
      <c r="L15" s="27">
        <v>18205</v>
      </c>
      <c r="M15" s="4"/>
      <c r="N15" s="5" t="s">
        <v>1096</v>
      </c>
      <c r="O15" s="5" t="s">
        <v>1108</v>
      </c>
      <c r="P15" s="4" t="s">
        <v>1097</v>
      </c>
    </row>
    <row r="16" spans="1:16" hidden="1">
      <c r="A16" s="35">
        <v>1</v>
      </c>
      <c r="B16" s="35" t="s">
        <v>1094</v>
      </c>
      <c r="C16" s="36" t="s">
        <v>1107</v>
      </c>
      <c r="D16" s="5" t="s">
        <v>64</v>
      </c>
      <c r="E16" s="4" t="s">
        <v>78</v>
      </c>
      <c r="F16" s="28">
        <v>14</v>
      </c>
      <c r="G16" s="35"/>
      <c r="H16" s="65">
        <v>45377</v>
      </c>
      <c r="I16" s="12">
        <v>45439</v>
      </c>
      <c r="J16" s="20">
        <v>80</v>
      </c>
      <c r="K16" s="5" t="s">
        <v>14</v>
      </c>
      <c r="L16" s="27">
        <v>2800</v>
      </c>
      <c r="M16" s="4"/>
      <c r="N16" s="5" t="s">
        <v>1096</v>
      </c>
      <c r="O16" s="5" t="s">
        <v>144</v>
      </c>
      <c r="P16" s="4" t="s">
        <v>1105</v>
      </c>
    </row>
    <row r="17" spans="1:16" hidden="1">
      <c r="A17" s="35">
        <v>1</v>
      </c>
      <c r="B17" s="35" t="s">
        <v>1094</v>
      </c>
      <c r="C17" s="36" t="s">
        <v>1107</v>
      </c>
      <c r="D17" s="5" t="s">
        <v>64</v>
      </c>
      <c r="E17" s="4" t="s">
        <v>143</v>
      </c>
      <c r="F17" s="5">
        <v>15</v>
      </c>
      <c r="G17" s="48"/>
      <c r="H17" s="12">
        <v>45390</v>
      </c>
      <c r="I17" s="12">
        <v>45471</v>
      </c>
      <c r="J17" s="20">
        <v>149</v>
      </c>
      <c r="K17" s="5" t="s">
        <v>162</v>
      </c>
      <c r="L17" s="27">
        <v>5215</v>
      </c>
      <c r="M17" s="4"/>
      <c r="N17" s="5" t="s">
        <v>1096</v>
      </c>
      <c r="O17" s="5" t="s">
        <v>144</v>
      </c>
      <c r="P17" s="4" t="s">
        <v>1105</v>
      </c>
    </row>
    <row r="18" spans="1:16" hidden="1">
      <c r="A18" s="35">
        <v>1</v>
      </c>
      <c r="B18" s="35" t="s">
        <v>1094</v>
      </c>
      <c r="C18" s="36" t="s">
        <v>1107</v>
      </c>
      <c r="D18" s="5" t="s">
        <v>64</v>
      </c>
      <c r="E18" s="4" t="s">
        <v>125</v>
      </c>
      <c r="F18" s="5">
        <v>16</v>
      </c>
      <c r="G18" s="5"/>
      <c r="H18" s="12">
        <v>45440</v>
      </c>
      <c r="I18" s="12">
        <v>45457</v>
      </c>
      <c r="J18" s="20">
        <v>90</v>
      </c>
      <c r="K18" s="5" t="s">
        <v>14</v>
      </c>
      <c r="L18" s="27">
        <v>3150</v>
      </c>
      <c r="M18" s="4"/>
      <c r="N18" s="5" t="s">
        <v>1096</v>
      </c>
      <c r="O18" s="5" t="s">
        <v>144</v>
      </c>
      <c r="P18" s="4" t="s">
        <v>1105</v>
      </c>
    </row>
    <row r="19" spans="1:16" hidden="1">
      <c r="A19" s="35">
        <v>1</v>
      </c>
      <c r="B19" s="35" t="s">
        <v>1094</v>
      </c>
      <c r="C19" s="36" t="s">
        <v>1107</v>
      </c>
      <c r="D19" s="5" t="s">
        <v>64</v>
      </c>
      <c r="E19" s="4" t="s">
        <v>99</v>
      </c>
      <c r="F19" s="5">
        <v>17</v>
      </c>
      <c r="G19" s="5"/>
      <c r="H19" s="12">
        <v>45377</v>
      </c>
      <c r="I19" s="12">
        <v>45439</v>
      </c>
      <c r="J19" s="20">
        <v>90</v>
      </c>
      <c r="K19" s="5" t="s">
        <v>14</v>
      </c>
      <c r="L19" s="27">
        <v>700</v>
      </c>
      <c r="M19" s="4"/>
      <c r="N19" s="5" t="s">
        <v>1096</v>
      </c>
      <c r="O19" s="5" t="s">
        <v>119</v>
      </c>
      <c r="P19" s="4" t="s">
        <v>1097</v>
      </c>
    </row>
    <row r="20" spans="1:16" hidden="1">
      <c r="A20" s="35">
        <v>1</v>
      </c>
      <c r="B20" s="35" t="s">
        <v>1094</v>
      </c>
      <c r="C20" s="36" t="s">
        <v>1095</v>
      </c>
      <c r="D20" s="5" t="s">
        <v>34</v>
      </c>
      <c r="E20" s="4" t="s">
        <v>33</v>
      </c>
      <c r="F20" s="5">
        <v>18</v>
      </c>
      <c r="G20" s="4" t="s">
        <v>1109</v>
      </c>
      <c r="H20" s="12">
        <v>45383</v>
      </c>
      <c r="I20" s="12">
        <v>45534</v>
      </c>
      <c r="J20" s="20">
        <v>300</v>
      </c>
      <c r="K20" s="5" t="s">
        <v>900</v>
      </c>
      <c r="L20" s="27">
        <v>18000</v>
      </c>
      <c r="M20" s="4"/>
      <c r="N20" s="5" t="s">
        <v>1096</v>
      </c>
      <c r="O20" s="5" t="s">
        <v>119</v>
      </c>
      <c r="P20" s="4" t="s">
        <v>1097</v>
      </c>
    </row>
    <row r="21" spans="1:16" hidden="1">
      <c r="A21" s="35">
        <v>1</v>
      </c>
      <c r="B21" s="35" t="s">
        <v>1094</v>
      </c>
      <c r="C21" s="36" t="s">
        <v>1095</v>
      </c>
      <c r="D21" s="5" t="s">
        <v>34</v>
      </c>
      <c r="E21" s="4" t="s">
        <v>260</v>
      </c>
      <c r="F21" s="5">
        <v>19</v>
      </c>
      <c r="G21" s="4" t="s">
        <v>1110</v>
      </c>
      <c r="H21" s="12">
        <v>45292</v>
      </c>
      <c r="I21" s="12">
        <v>45657</v>
      </c>
      <c r="J21" s="20">
        <v>90</v>
      </c>
      <c r="K21" s="5" t="s">
        <v>900</v>
      </c>
      <c r="L21" s="27">
        <v>5850</v>
      </c>
      <c r="M21" s="4"/>
      <c r="N21" s="5" t="s">
        <v>1096</v>
      </c>
      <c r="O21" s="5" t="s">
        <v>1103</v>
      </c>
      <c r="P21" s="4" t="s">
        <v>1097</v>
      </c>
    </row>
    <row r="22" spans="1:16" hidden="1">
      <c r="A22" s="35">
        <v>1</v>
      </c>
      <c r="B22" s="35" t="s">
        <v>1094</v>
      </c>
      <c r="C22" s="36" t="s">
        <v>1095</v>
      </c>
      <c r="D22" s="5" t="s">
        <v>34</v>
      </c>
      <c r="E22" s="4" t="s">
        <v>766</v>
      </c>
      <c r="F22" s="5">
        <v>20</v>
      </c>
      <c r="G22" s="5"/>
      <c r="H22" s="12">
        <v>45292</v>
      </c>
      <c r="I22" s="12">
        <v>45657</v>
      </c>
      <c r="J22" s="20">
        <v>45</v>
      </c>
      <c r="K22" s="5" t="s">
        <v>900</v>
      </c>
      <c r="L22" s="27">
        <v>2475</v>
      </c>
      <c r="M22" s="4"/>
      <c r="N22" s="5" t="s">
        <v>1096</v>
      </c>
      <c r="O22" s="5" t="s">
        <v>1103</v>
      </c>
      <c r="P22" s="4" t="s">
        <v>1097</v>
      </c>
    </row>
    <row r="23" spans="1:16" hidden="1">
      <c r="A23" s="35">
        <v>1</v>
      </c>
      <c r="B23" s="35" t="s">
        <v>1094</v>
      </c>
      <c r="C23" s="36" t="s">
        <v>1095</v>
      </c>
      <c r="D23" s="5" t="s">
        <v>28</v>
      </c>
      <c r="E23" s="4" t="s">
        <v>118</v>
      </c>
      <c r="F23" s="5">
        <v>21</v>
      </c>
      <c r="G23" s="4" t="s">
        <v>1111</v>
      </c>
      <c r="H23" s="12">
        <v>45292</v>
      </c>
      <c r="I23" s="12">
        <v>45657</v>
      </c>
      <c r="J23" s="20">
        <v>264</v>
      </c>
      <c r="K23" s="5" t="s">
        <v>900</v>
      </c>
      <c r="L23" s="27">
        <v>14520</v>
      </c>
      <c r="M23" s="4"/>
      <c r="N23" s="5" t="s">
        <v>1096</v>
      </c>
      <c r="O23" s="5" t="s">
        <v>1103</v>
      </c>
      <c r="P23" s="4" t="s">
        <v>1097</v>
      </c>
    </row>
    <row r="24" spans="1:16" hidden="1">
      <c r="A24" s="35">
        <v>1</v>
      </c>
      <c r="B24" s="35" t="s">
        <v>1094</v>
      </c>
      <c r="C24" s="36" t="s">
        <v>1095</v>
      </c>
      <c r="D24" s="5" t="s">
        <v>42</v>
      </c>
      <c r="E24" s="4" t="s">
        <v>150</v>
      </c>
      <c r="F24" s="5">
        <v>22</v>
      </c>
      <c r="G24" s="5"/>
      <c r="H24" s="12">
        <v>45413</v>
      </c>
      <c r="I24" s="12">
        <v>45504</v>
      </c>
      <c r="J24" s="20">
        <v>700</v>
      </c>
      <c r="K24" s="5" t="s">
        <v>14</v>
      </c>
      <c r="L24" s="27">
        <v>31500</v>
      </c>
      <c r="M24" s="4"/>
      <c r="N24" s="5" t="s">
        <v>1096</v>
      </c>
      <c r="O24" s="5" t="s">
        <v>119</v>
      </c>
      <c r="P24" s="4" t="s">
        <v>1097</v>
      </c>
    </row>
    <row r="25" spans="1:16" hidden="1">
      <c r="A25" s="35">
        <v>1</v>
      </c>
      <c r="B25" s="35" t="s">
        <v>1094</v>
      </c>
      <c r="C25" s="36" t="s">
        <v>1112</v>
      </c>
      <c r="D25" s="5" t="s">
        <v>42</v>
      </c>
      <c r="E25" s="4" t="s">
        <v>128</v>
      </c>
      <c r="F25" s="5">
        <v>23</v>
      </c>
      <c r="G25" s="4" t="s">
        <v>1113</v>
      </c>
      <c r="H25" s="12">
        <v>45446</v>
      </c>
      <c r="I25" s="12">
        <v>45504</v>
      </c>
      <c r="J25" s="20">
        <v>250</v>
      </c>
      <c r="K25" s="5" t="s">
        <v>900</v>
      </c>
      <c r="L25" s="27">
        <v>12500</v>
      </c>
      <c r="M25" s="4"/>
      <c r="N25" s="5" t="s">
        <v>1096</v>
      </c>
      <c r="O25" s="5" t="s">
        <v>40</v>
      </c>
      <c r="P25" s="4" t="s">
        <v>1097</v>
      </c>
    </row>
    <row r="26" spans="1:16" hidden="1">
      <c r="A26" s="35">
        <v>1</v>
      </c>
      <c r="B26" s="35" t="s">
        <v>1094</v>
      </c>
      <c r="C26" s="36" t="s">
        <v>1095</v>
      </c>
      <c r="D26" s="5" t="s">
        <v>28</v>
      </c>
      <c r="E26" s="4" t="s">
        <v>122</v>
      </c>
      <c r="F26" s="5">
        <v>24</v>
      </c>
      <c r="G26" s="4" t="s">
        <v>1114</v>
      </c>
      <c r="H26" s="12">
        <v>45453</v>
      </c>
      <c r="I26" s="12">
        <v>45504</v>
      </c>
      <c r="J26" s="20">
        <v>106</v>
      </c>
      <c r="K26" s="5" t="s">
        <v>900</v>
      </c>
      <c r="L26" s="27">
        <v>5830</v>
      </c>
      <c r="M26" s="4"/>
      <c r="N26" s="5" t="s">
        <v>1096</v>
      </c>
      <c r="O26" s="5" t="s">
        <v>1103</v>
      </c>
      <c r="P26" s="4" t="s">
        <v>1097</v>
      </c>
    </row>
    <row r="27" spans="1:16" hidden="1">
      <c r="A27" s="35">
        <v>1</v>
      </c>
      <c r="B27" s="35" t="s">
        <v>1094</v>
      </c>
      <c r="C27" s="36" t="s">
        <v>1107</v>
      </c>
      <c r="D27" s="5" t="s">
        <v>64</v>
      </c>
      <c r="E27" s="4" t="s">
        <v>136</v>
      </c>
      <c r="F27" s="5">
        <v>25</v>
      </c>
      <c r="G27" s="4" t="s">
        <v>1115</v>
      </c>
      <c r="H27" s="12">
        <v>45446</v>
      </c>
      <c r="I27" s="12">
        <v>45657</v>
      </c>
      <c r="J27" s="20">
        <v>118</v>
      </c>
      <c r="K27" s="5" t="s">
        <v>900</v>
      </c>
      <c r="L27" s="27">
        <v>5310</v>
      </c>
      <c r="M27" s="4"/>
      <c r="N27" s="5" t="s">
        <v>1096</v>
      </c>
      <c r="O27" s="5" t="s">
        <v>40</v>
      </c>
      <c r="P27" s="4" t="s">
        <v>1105</v>
      </c>
    </row>
    <row r="28" spans="1:16">
      <c r="A28" s="35">
        <v>1</v>
      </c>
      <c r="B28" s="35" t="s">
        <v>1094</v>
      </c>
      <c r="C28" s="36" t="s">
        <v>1099</v>
      </c>
      <c r="D28" s="5" t="s">
        <v>19</v>
      </c>
      <c r="E28" s="4" t="s">
        <v>294</v>
      </c>
      <c r="F28" s="5">
        <v>26</v>
      </c>
      <c r="G28" s="5"/>
      <c r="H28" s="12">
        <v>45456</v>
      </c>
      <c r="I28" s="12">
        <v>45657</v>
      </c>
      <c r="J28" s="20">
        <v>100</v>
      </c>
      <c r="K28" s="5" t="s">
        <v>162</v>
      </c>
      <c r="L28" s="27">
        <v>5500</v>
      </c>
      <c r="M28" s="4"/>
      <c r="N28" s="5" t="s">
        <v>1116</v>
      </c>
      <c r="O28" s="5" t="s">
        <v>1108</v>
      </c>
      <c r="P28" s="4" t="s">
        <v>1117</v>
      </c>
    </row>
    <row r="29" spans="1:16" hidden="1">
      <c r="A29" s="35">
        <v>1</v>
      </c>
      <c r="B29" s="35" t="s">
        <v>1094</v>
      </c>
      <c r="C29" s="36" t="s">
        <v>1107</v>
      </c>
      <c r="D29" s="5" t="s">
        <v>64</v>
      </c>
      <c r="E29" s="4" t="s">
        <v>146</v>
      </c>
      <c r="F29" s="5">
        <v>27</v>
      </c>
      <c r="G29" s="4" t="s">
        <v>1118</v>
      </c>
      <c r="H29" s="12">
        <v>45453</v>
      </c>
      <c r="I29" s="12">
        <v>45657</v>
      </c>
      <c r="J29" s="20">
        <v>120</v>
      </c>
      <c r="K29" s="5" t="s">
        <v>900</v>
      </c>
      <c r="L29" s="27">
        <v>5400</v>
      </c>
      <c r="M29" s="4"/>
      <c r="N29" s="5" t="s">
        <v>1096</v>
      </c>
      <c r="O29" s="5" t="s">
        <v>1108</v>
      </c>
      <c r="P29" s="4" t="s">
        <v>1105</v>
      </c>
    </row>
    <row r="30" spans="1:16" hidden="1">
      <c r="A30" s="35">
        <v>1</v>
      </c>
      <c r="B30" s="35" t="s">
        <v>1094</v>
      </c>
      <c r="C30" s="36" t="s">
        <v>1107</v>
      </c>
      <c r="D30" s="5" t="s">
        <v>64</v>
      </c>
      <c r="E30" s="4" t="s">
        <v>104</v>
      </c>
      <c r="F30" s="5">
        <v>28</v>
      </c>
      <c r="G30" s="5"/>
      <c r="H30" s="12">
        <v>45413</v>
      </c>
      <c r="I30" s="12">
        <v>45504</v>
      </c>
      <c r="J30" s="20">
        <v>80</v>
      </c>
      <c r="K30" s="5" t="s">
        <v>14</v>
      </c>
      <c r="L30" s="27">
        <v>2800</v>
      </c>
      <c r="M30" s="4"/>
      <c r="N30" s="5" t="s">
        <v>1096</v>
      </c>
      <c r="O30" s="5" t="s">
        <v>40</v>
      </c>
      <c r="P30" s="4" t="s">
        <v>1105</v>
      </c>
    </row>
    <row r="31" spans="1:16" hidden="1">
      <c r="A31" s="35">
        <v>1</v>
      </c>
      <c r="B31" s="35" t="s">
        <v>1094</v>
      </c>
      <c r="C31" s="36" t="s">
        <v>1107</v>
      </c>
      <c r="D31" s="5" t="s">
        <v>64</v>
      </c>
      <c r="E31" s="4" t="s">
        <v>109</v>
      </c>
      <c r="F31" s="5">
        <v>29</v>
      </c>
      <c r="G31" s="5"/>
      <c r="H31" s="12">
        <v>45413</v>
      </c>
      <c r="I31" s="12">
        <v>45657</v>
      </c>
      <c r="J31" s="20">
        <v>60</v>
      </c>
      <c r="K31" s="5" t="s">
        <v>14</v>
      </c>
      <c r="L31" s="27">
        <v>2100</v>
      </c>
      <c r="M31" s="4"/>
      <c r="N31" s="5" t="s">
        <v>1096</v>
      </c>
      <c r="O31" s="5" t="s">
        <v>1108</v>
      </c>
      <c r="P31" s="4" t="s">
        <v>1097</v>
      </c>
    </row>
    <row r="32" spans="1:16" hidden="1">
      <c r="A32" s="35">
        <v>1</v>
      </c>
      <c r="B32" s="35" t="s">
        <v>1094</v>
      </c>
      <c r="C32" s="36" t="s">
        <v>1095</v>
      </c>
      <c r="D32" s="5" t="s">
        <v>20</v>
      </c>
      <c r="E32" s="4" t="s">
        <v>138</v>
      </c>
      <c r="F32" s="5">
        <v>30</v>
      </c>
      <c r="G32" s="4" t="s">
        <v>1119</v>
      </c>
      <c r="H32" s="12">
        <v>45292</v>
      </c>
      <c r="I32" s="12">
        <v>45657</v>
      </c>
      <c r="J32" s="20">
        <v>300</v>
      </c>
      <c r="K32" s="5" t="s">
        <v>900</v>
      </c>
      <c r="L32" s="27">
        <v>16500</v>
      </c>
      <c r="M32" s="4"/>
      <c r="N32" s="5" t="s">
        <v>1096</v>
      </c>
      <c r="O32" s="5" t="s">
        <v>1108</v>
      </c>
      <c r="P32" s="4" t="s">
        <v>1097</v>
      </c>
    </row>
    <row r="33" spans="1:16" hidden="1">
      <c r="A33" s="35">
        <v>1</v>
      </c>
      <c r="B33" s="35" t="s">
        <v>1094</v>
      </c>
      <c r="C33" s="36" t="s">
        <v>1112</v>
      </c>
      <c r="D33" s="5" t="s">
        <v>20</v>
      </c>
      <c r="E33" s="4" t="s">
        <v>176</v>
      </c>
      <c r="F33" s="5">
        <v>31</v>
      </c>
      <c r="G33" s="4" t="s">
        <v>1120</v>
      </c>
      <c r="H33" s="12">
        <v>45444</v>
      </c>
      <c r="I33" s="12">
        <v>45657</v>
      </c>
      <c r="J33" s="20">
        <v>300</v>
      </c>
      <c r="K33" s="5" t="s">
        <v>900</v>
      </c>
      <c r="L33" s="27">
        <v>16500</v>
      </c>
      <c r="M33" s="4"/>
      <c r="N33" s="5" t="s">
        <v>1096</v>
      </c>
      <c r="O33" s="5" t="s">
        <v>1121</v>
      </c>
      <c r="P33" s="4" t="s">
        <v>1097</v>
      </c>
    </row>
    <row r="34" spans="1:16" hidden="1">
      <c r="A34" s="35">
        <v>1</v>
      </c>
      <c r="B34" s="35" t="s">
        <v>1094</v>
      </c>
      <c r="C34" s="36" t="s">
        <v>1095</v>
      </c>
      <c r="D34" s="5" t="s">
        <v>20</v>
      </c>
      <c r="E34" s="4" t="s">
        <v>192</v>
      </c>
      <c r="F34" s="5">
        <v>32</v>
      </c>
      <c r="G34" s="4" t="s">
        <v>1122</v>
      </c>
      <c r="H34" s="12">
        <v>45444</v>
      </c>
      <c r="I34" s="12">
        <v>45657</v>
      </c>
      <c r="J34" s="20">
        <v>400</v>
      </c>
      <c r="K34" s="5" t="s">
        <v>900</v>
      </c>
      <c r="L34" s="27">
        <v>26000</v>
      </c>
      <c r="M34" s="4"/>
      <c r="N34" s="5" t="s">
        <v>1096</v>
      </c>
      <c r="O34" s="5" t="s">
        <v>1121</v>
      </c>
      <c r="P34" s="4" t="s">
        <v>1097</v>
      </c>
    </row>
    <row r="35" spans="1:16" hidden="1">
      <c r="A35" s="35">
        <v>1</v>
      </c>
      <c r="B35" s="35" t="s">
        <v>1094</v>
      </c>
      <c r="C35" s="36" t="s">
        <v>1107</v>
      </c>
      <c r="D35" s="5" t="s">
        <v>64</v>
      </c>
      <c r="E35" s="4" t="s">
        <v>195</v>
      </c>
      <c r="F35" s="5">
        <v>33</v>
      </c>
      <c r="G35" s="4" t="s">
        <v>1123</v>
      </c>
      <c r="H35" s="12">
        <v>45444</v>
      </c>
      <c r="I35" s="12">
        <v>45657</v>
      </c>
      <c r="J35" s="20">
        <v>300</v>
      </c>
      <c r="K35" s="5" t="s">
        <v>900</v>
      </c>
      <c r="L35" s="27">
        <v>16500</v>
      </c>
      <c r="M35" s="4"/>
      <c r="N35" s="5" t="s">
        <v>1096</v>
      </c>
      <c r="O35" s="5" t="s">
        <v>1121</v>
      </c>
      <c r="P35" s="4" t="s">
        <v>1106</v>
      </c>
    </row>
    <row r="36" spans="1:16" hidden="1">
      <c r="A36" s="35">
        <v>1</v>
      </c>
      <c r="B36" s="35" t="s">
        <v>1094</v>
      </c>
      <c r="C36" s="36" t="s">
        <v>1107</v>
      </c>
      <c r="D36" s="5" t="s">
        <v>64</v>
      </c>
      <c r="E36" s="4" t="s">
        <v>205</v>
      </c>
      <c r="F36" s="5">
        <v>34</v>
      </c>
      <c r="G36" s="5"/>
      <c r="H36" s="12">
        <v>45468</v>
      </c>
      <c r="I36" s="12">
        <v>45469</v>
      </c>
      <c r="J36" s="20">
        <v>28</v>
      </c>
      <c r="K36" s="5" t="s">
        <v>14</v>
      </c>
      <c r="L36" s="27">
        <v>980</v>
      </c>
      <c r="M36" s="4"/>
      <c r="N36" s="5" t="s">
        <v>1096</v>
      </c>
      <c r="O36" s="5" t="s">
        <v>40</v>
      </c>
      <c r="P36" s="4" t="s">
        <v>1105</v>
      </c>
    </row>
    <row r="37" spans="1:16" hidden="1">
      <c r="A37" s="35">
        <v>1</v>
      </c>
      <c r="B37" s="35" t="s">
        <v>1094</v>
      </c>
      <c r="C37" s="36" t="s">
        <v>1107</v>
      </c>
      <c r="D37" s="5" t="s">
        <v>64</v>
      </c>
      <c r="E37" s="4" t="s">
        <v>231</v>
      </c>
      <c r="F37" s="5">
        <v>35</v>
      </c>
      <c r="G37" s="51" t="s">
        <v>1124</v>
      </c>
      <c r="H37" s="12">
        <v>45444</v>
      </c>
      <c r="I37" s="12">
        <v>45657</v>
      </c>
      <c r="J37" s="20">
        <v>300</v>
      </c>
      <c r="K37" s="5" t="s">
        <v>900</v>
      </c>
      <c r="L37" s="27">
        <v>16500</v>
      </c>
      <c r="M37" s="4"/>
      <c r="N37" s="5" t="s">
        <v>1096</v>
      </c>
      <c r="O37" s="5" t="s">
        <v>40</v>
      </c>
      <c r="P37" s="4" t="s">
        <v>1105</v>
      </c>
    </row>
    <row r="38" spans="1:16" hidden="1">
      <c r="A38" s="35">
        <v>1</v>
      </c>
      <c r="B38" s="35" t="s">
        <v>1094</v>
      </c>
      <c r="C38" s="36" t="s">
        <v>1112</v>
      </c>
      <c r="D38" s="5" t="s">
        <v>178</v>
      </c>
      <c r="E38" s="4" t="s">
        <v>287</v>
      </c>
      <c r="F38" s="5">
        <v>36</v>
      </c>
      <c r="G38" s="4" t="s">
        <v>1125</v>
      </c>
      <c r="H38" s="12">
        <v>45352</v>
      </c>
      <c r="I38" s="12">
        <v>45657</v>
      </c>
      <c r="J38" s="20">
        <v>80</v>
      </c>
      <c r="K38" s="5" t="s">
        <v>900</v>
      </c>
      <c r="L38" s="27">
        <v>2000</v>
      </c>
      <c r="M38" s="4"/>
      <c r="N38" s="5" t="s">
        <v>1096</v>
      </c>
      <c r="O38" s="5" t="s">
        <v>1121</v>
      </c>
      <c r="P38" s="4" t="s">
        <v>1097</v>
      </c>
    </row>
    <row r="39" spans="1:16" hidden="1">
      <c r="A39" s="35">
        <v>1</v>
      </c>
      <c r="B39" s="35" t="s">
        <v>1094</v>
      </c>
      <c r="C39" s="36" t="s">
        <v>1112</v>
      </c>
      <c r="D39" s="5" t="s">
        <v>178</v>
      </c>
      <c r="E39" s="4" t="s">
        <v>1126</v>
      </c>
      <c r="F39" s="5">
        <v>37</v>
      </c>
      <c r="G39" s="4" t="s">
        <v>1127</v>
      </c>
      <c r="H39" s="12">
        <v>45292</v>
      </c>
      <c r="I39" s="12">
        <v>45657</v>
      </c>
      <c r="J39" s="20">
        <v>80</v>
      </c>
      <c r="K39" s="5" t="s">
        <v>900</v>
      </c>
      <c r="L39" s="27">
        <v>2001</v>
      </c>
      <c r="M39" s="4"/>
      <c r="N39" s="5" t="s">
        <v>1096</v>
      </c>
      <c r="O39" s="5" t="s">
        <v>1121</v>
      </c>
      <c r="P39" s="4" t="s">
        <v>1097</v>
      </c>
    </row>
    <row r="40" spans="1:16" hidden="1">
      <c r="A40" s="35">
        <v>1</v>
      </c>
      <c r="B40" s="35" t="s">
        <v>1094</v>
      </c>
      <c r="C40" s="36" t="s">
        <v>1095</v>
      </c>
      <c r="D40" s="5" t="s">
        <v>66</v>
      </c>
      <c r="E40" s="4" t="s">
        <v>267</v>
      </c>
      <c r="F40" s="5">
        <v>38</v>
      </c>
      <c r="G40" s="5"/>
      <c r="H40" s="12">
        <v>45471</v>
      </c>
      <c r="I40" s="12">
        <v>45474</v>
      </c>
      <c r="J40" s="20">
        <v>7</v>
      </c>
      <c r="K40" s="5" t="s">
        <v>14</v>
      </c>
      <c r="L40" s="27">
        <v>245</v>
      </c>
      <c r="M40" s="4"/>
      <c r="N40" s="5" t="s">
        <v>1096</v>
      </c>
      <c r="O40" s="5" t="s">
        <v>1103</v>
      </c>
      <c r="P40" s="4" t="s">
        <v>1128</v>
      </c>
    </row>
    <row r="41" spans="1:16">
      <c r="A41" s="35">
        <v>1</v>
      </c>
      <c r="B41" s="35" t="s">
        <v>1094</v>
      </c>
      <c r="C41" s="36" t="s">
        <v>1099</v>
      </c>
      <c r="D41" s="5" t="s">
        <v>19</v>
      </c>
      <c r="E41" s="4" t="s">
        <v>140</v>
      </c>
      <c r="F41" s="5">
        <v>39</v>
      </c>
      <c r="G41" s="80" t="s">
        <v>1129</v>
      </c>
      <c r="H41" s="12">
        <v>45444</v>
      </c>
      <c r="I41" s="12">
        <v>45657</v>
      </c>
      <c r="J41" s="20">
        <v>600</v>
      </c>
      <c r="K41" s="5" t="s">
        <v>900</v>
      </c>
      <c r="L41" s="27">
        <v>105033.5</v>
      </c>
      <c r="M41" s="4"/>
      <c r="N41" s="5" t="s">
        <v>1116</v>
      </c>
      <c r="O41" s="5" t="s">
        <v>144</v>
      </c>
      <c r="P41" s="4" t="s">
        <v>1117</v>
      </c>
    </row>
    <row r="42" spans="1:16" hidden="1">
      <c r="A42" s="40">
        <v>1</v>
      </c>
      <c r="B42" s="40" t="s">
        <v>1094</v>
      </c>
      <c r="C42" s="36" t="s">
        <v>1107</v>
      </c>
      <c r="D42" s="5" t="s">
        <v>66</v>
      </c>
      <c r="E42" s="4" t="s">
        <v>312</v>
      </c>
      <c r="F42" s="5">
        <v>40</v>
      </c>
      <c r="G42" s="51" t="s">
        <v>1130</v>
      </c>
      <c r="H42" s="12">
        <v>45474</v>
      </c>
      <c r="I42" s="12">
        <v>45657</v>
      </c>
      <c r="J42" s="20">
        <v>100</v>
      </c>
      <c r="K42" s="5" t="s">
        <v>900</v>
      </c>
      <c r="L42" s="27">
        <v>3500</v>
      </c>
      <c r="M42" s="4"/>
      <c r="N42" s="5" t="s">
        <v>1096</v>
      </c>
      <c r="O42" s="5" t="s">
        <v>40</v>
      </c>
      <c r="P42" s="4" t="s">
        <v>1105</v>
      </c>
    </row>
    <row r="43" spans="1:16" hidden="1">
      <c r="A43" s="35">
        <v>1</v>
      </c>
      <c r="B43" s="35" t="s">
        <v>1094</v>
      </c>
      <c r="C43" s="36" t="s">
        <v>1095</v>
      </c>
      <c r="D43" s="5" t="s">
        <v>18</v>
      </c>
      <c r="E43" s="4" t="s">
        <v>1131</v>
      </c>
      <c r="F43" s="5">
        <v>41</v>
      </c>
      <c r="G43" s="51" t="s">
        <v>1132</v>
      </c>
      <c r="H43" s="12">
        <v>45505</v>
      </c>
      <c r="I43" s="12">
        <v>45657</v>
      </c>
      <c r="J43" s="20">
        <v>100</v>
      </c>
      <c r="K43" s="5" t="s">
        <v>1133</v>
      </c>
      <c r="L43" s="27">
        <v>0</v>
      </c>
      <c r="M43" s="4"/>
      <c r="N43" s="5" t="s">
        <v>1096</v>
      </c>
      <c r="O43" s="5" t="s">
        <v>40</v>
      </c>
      <c r="P43" s="4" t="s">
        <v>1104</v>
      </c>
    </row>
    <row r="44" spans="1:16" hidden="1">
      <c r="A44" s="35">
        <v>1</v>
      </c>
      <c r="B44" s="40" t="s">
        <v>1094</v>
      </c>
      <c r="C44" s="36" t="s">
        <v>1095</v>
      </c>
      <c r="D44" s="5" t="s">
        <v>18</v>
      </c>
      <c r="E44" s="4" t="s">
        <v>1134</v>
      </c>
      <c r="F44" s="5">
        <v>42</v>
      </c>
      <c r="G44" s="51" t="s">
        <v>1135</v>
      </c>
      <c r="H44" s="12">
        <v>45505</v>
      </c>
      <c r="I44" s="12">
        <v>45657</v>
      </c>
      <c r="J44" s="20">
        <v>300</v>
      </c>
      <c r="K44" s="5" t="s">
        <v>1133</v>
      </c>
      <c r="L44" s="27">
        <v>0</v>
      </c>
      <c r="M44" s="4"/>
      <c r="N44" s="5" t="s">
        <v>1096</v>
      </c>
      <c r="O44" s="5" t="s">
        <v>1108</v>
      </c>
      <c r="P44" s="4" t="s">
        <v>1097</v>
      </c>
    </row>
    <row r="45" spans="1:16" hidden="1">
      <c r="A45" s="40">
        <v>1</v>
      </c>
      <c r="B45" s="35" t="s">
        <v>1094</v>
      </c>
      <c r="C45" s="36" t="s">
        <v>1095</v>
      </c>
      <c r="D45" s="5" t="s">
        <v>18</v>
      </c>
      <c r="E45" s="4" t="s">
        <v>1136</v>
      </c>
      <c r="F45" s="5">
        <v>43</v>
      </c>
      <c r="G45" s="51" t="s">
        <v>1137</v>
      </c>
      <c r="H45" s="12">
        <v>45505</v>
      </c>
      <c r="I45" s="12">
        <v>45657</v>
      </c>
      <c r="J45" s="20">
        <v>100</v>
      </c>
      <c r="K45" s="5" t="s">
        <v>1133</v>
      </c>
      <c r="L45" s="27">
        <v>0</v>
      </c>
      <c r="M45" s="4"/>
      <c r="N45" s="5" t="s">
        <v>1096</v>
      </c>
      <c r="O45" s="5" t="s">
        <v>119</v>
      </c>
      <c r="P45" s="4" t="s">
        <v>1097</v>
      </c>
    </row>
    <row r="46" spans="1:16" hidden="1">
      <c r="A46" s="35">
        <v>1</v>
      </c>
      <c r="B46" s="40" t="s">
        <v>1094</v>
      </c>
      <c r="C46" s="36" t="s">
        <v>1095</v>
      </c>
      <c r="D46" s="5" t="s">
        <v>28</v>
      </c>
      <c r="E46" s="4" t="s">
        <v>332</v>
      </c>
      <c r="F46" s="5">
        <v>44</v>
      </c>
      <c r="G46" s="4" t="s">
        <v>1138</v>
      </c>
      <c r="H46" s="12">
        <v>45482</v>
      </c>
      <c r="I46" s="12">
        <v>45485</v>
      </c>
      <c r="J46" s="20">
        <v>24</v>
      </c>
      <c r="K46" s="5" t="s">
        <v>900</v>
      </c>
      <c r="L46" s="27">
        <v>552</v>
      </c>
      <c r="M46" s="4"/>
      <c r="N46" s="5" t="s">
        <v>1096</v>
      </c>
      <c r="O46" s="5" t="s">
        <v>119</v>
      </c>
      <c r="P46" s="4" t="s">
        <v>1097</v>
      </c>
    </row>
    <row r="47" spans="1:16" hidden="1">
      <c r="A47" s="35">
        <v>1</v>
      </c>
      <c r="B47" s="40" t="s">
        <v>1094</v>
      </c>
      <c r="C47" s="36" t="s">
        <v>1095</v>
      </c>
      <c r="D47" s="5" t="s">
        <v>20</v>
      </c>
      <c r="E47" s="4" t="s">
        <v>346</v>
      </c>
      <c r="F47" s="5">
        <v>45</v>
      </c>
      <c r="G47" s="5"/>
      <c r="H47" s="12">
        <v>45484</v>
      </c>
      <c r="I47" s="12">
        <v>45484</v>
      </c>
      <c r="J47" s="20">
        <v>2</v>
      </c>
      <c r="K47" s="5" t="s">
        <v>14</v>
      </c>
      <c r="L47" s="27">
        <v>260</v>
      </c>
      <c r="M47" s="4"/>
      <c r="N47" s="5" t="s">
        <v>1096</v>
      </c>
      <c r="O47" s="5" t="s">
        <v>1103</v>
      </c>
      <c r="P47" s="4" t="s">
        <v>1104</v>
      </c>
    </row>
    <row r="48" spans="1:16" hidden="1">
      <c r="A48" s="40">
        <v>1</v>
      </c>
      <c r="B48" s="40" t="s">
        <v>1094</v>
      </c>
      <c r="C48" s="36" t="s">
        <v>1095</v>
      </c>
      <c r="D48" s="5" t="s">
        <v>20</v>
      </c>
      <c r="E48" s="79" t="s">
        <v>359</v>
      </c>
      <c r="F48" s="5">
        <v>46</v>
      </c>
      <c r="G48" s="5"/>
      <c r="H48" s="12">
        <v>45485</v>
      </c>
      <c r="I48" s="12">
        <v>45485</v>
      </c>
      <c r="J48" s="20">
        <v>4</v>
      </c>
      <c r="K48" s="5" t="s">
        <v>14</v>
      </c>
      <c r="L48" s="27">
        <v>260</v>
      </c>
      <c r="M48" s="4"/>
      <c r="N48" s="5" t="s">
        <v>1096</v>
      </c>
      <c r="O48" s="5" t="s">
        <v>1103</v>
      </c>
      <c r="P48" s="4" t="s">
        <v>1104</v>
      </c>
    </row>
    <row r="49" spans="1:16" hidden="1">
      <c r="A49" s="35">
        <v>1</v>
      </c>
      <c r="B49" s="40" t="s">
        <v>1094</v>
      </c>
      <c r="C49" s="36" t="s">
        <v>1095</v>
      </c>
      <c r="D49" s="5" t="s">
        <v>20</v>
      </c>
      <c r="E49" s="4" t="s">
        <v>1139</v>
      </c>
      <c r="F49" s="5">
        <v>47</v>
      </c>
      <c r="G49" s="51" t="s">
        <v>1140</v>
      </c>
      <c r="H49" s="12">
        <v>45490</v>
      </c>
      <c r="I49" s="12">
        <v>45504</v>
      </c>
      <c r="J49" s="20">
        <v>20</v>
      </c>
      <c r="K49" s="5" t="s">
        <v>900</v>
      </c>
      <c r="L49" s="27">
        <v>500</v>
      </c>
      <c r="M49" s="4"/>
      <c r="N49" s="5" t="s">
        <v>1096</v>
      </c>
      <c r="O49" s="5" t="s">
        <v>40</v>
      </c>
      <c r="P49" s="4"/>
    </row>
    <row r="50" spans="1:16" hidden="1">
      <c r="A50" s="35">
        <v>1</v>
      </c>
      <c r="B50" s="40" t="s">
        <v>1094</v>
      </c>
      <c r="C50" s="36" t="s">
        <v>1095</v>
      </c>
      <c r="D50" s="5" t="s">
        <v>20</v>
      </c>
      <c r="E50" s="4" t="s">
        <v>385</v>
      </c>
      <c r="F50" s="5">
        <v>48</v>
      </c>
      <c r="G50" s="4" t="s">
        <v>1141</v>
      </c>
      <c r="H50" s="12">
        <v>45490</v>
      </c>
      <c r="I50" s="12">
        <v>45504</v>
      </c>
      <c r="J50" s="20">
        <v>60</v>
      </c>
      <c r="K50" s="5" t="s">
        <v>900</v>
      </c>
      <c r="L50" s="27">
        <v>1500</v>
      </c>
      <c r="M50" s="4"/>
      <c r="N50" s="5" t="s">
        <v>1096</v>
      </c>
      <c r="O50" s="5" t="s">
        <v>40</v>
      </c>
      <c r="P50" s="4" t="s">
        <v>1106</v>
      </c>
    </row>
    <row r="51" spans="1:16" hidden="1">
      <c r="A51" s="40">
        <v>1</v>
      </c>
      <c r="B51" s="40" t="s">
        <v>1094</v>
      </c>
      <c r="C51" s="36" t="s">
        <v>1107</v>
      </c>
      <c r="D51" s="5" t="s">
        <v>20</v>
      </c>
      <c r="E51" s="4" t="s">
        <v>380</v>
      </c>
      <c r="F51" s="5">
        <v>49</v>
      </c>
      <c r="G51" s="51" t="s">
        <v>1142</v>
      </c>
      <c r="H51" s="12">
        <v>45490</v>
      </c>
      <c r="I51" s="12">
        <v>45504</v>
      </c>
      <c r="J51" s="20">
        <v>20</v>
      </c>
      <c r="K51" s="5" t="s">
        <v>900</v>
      </c>
      <c r="L51" s="27">
        <v>500</v>
      </c>
      <c r="M51" s="4"/>
      <c r="N51" s="5" t="s">
        <v>1096</v>
      </c>
      <c r="O51" s="5" t="s">
        <v>40</v>
      </c>
      <c r="P51" s="4" t="s">
        <v>1105</v>
      </c>
    </row>
    <row r="52" spans="1:16" hidden="1">
      <c r="A52" s="40">
        <v>1</v>
      </c>
      <c r="B52" s="40" t="s">
        <v>1094</v>
      </c>
      <c r="C52" s="36" t="s">
        <v>1107</v>
      </c>
      <c r="D52" s="5" t="s">
        <v>20</v>
      </c>
      <c r="E52" s="4" t="s">
        <v>488</v>
      </c>
      <c r="F52" s="5">
        <v>50</v>
      </c>
      <c r="G52" s="51" t="s">
        <v>1143</v>
      </c>
      <c r="H52" s="12">
        <v>45474</v>
      </c>
      <c r="I52" s="12">
        <v>45657</v>
      </c>
      <c r="J52" s="20">
        <v>120</v>
      </c>
      <c r="K52" s="5" t="s">
        <v>900</v>
      </c>
      <c r="L52" s="27">
        <v>5400</v>
      </c>
      <c r="M52" s="4"/>
      <c r="N52" s="5" t="s">
        <v>1096</v>
      </c>
      <c r="O52" s="5" t="s">
        <v>1103</v>
      </c>
      <c r="P52" s="4" t="s">
        <v>1102</v>
      </c>
    </row>
    <row r="53" spans="1:16">
      <c r="A53" s="35">
        <v>1</v>
      </c>
      <c r="B53" s="35" t="s">
        <v>1094</v>
      </c>
      <c r="C53" s="36" t="s">
        <v>1099</v>
      </c>
      <c r="D53" s="5" t="s">
        <v>19</v>
      </c>
      <c r="E53" s="4" t="s">
        <v>496</v>
      </c>
      <c r="F53" s="5">
        <v>51</v>
      </c>
      <c r="G53" s="51" t="s">
        <v>1144</v>
      </c>
      <c r="H53" s="12">
        <v>45505</v>
      </c>
      <c r="I53" s="12">
        <v>45657</v>
      </c>
      <c r="J53" s="20">
        <v>92</v>
      </c>
      <c r="K53" s="5" t="s">
        <v>900</v>
      </c>
      <c r="L53" s="27">
        <v>112000</v>
      </c>
      <c r="M53" s="4"/>
      <c r="N53" s="5" t="s">
        <v>1116</v>
      </c>
      <c r="O53" s="5" t="s">
        <v>1108</v>
      </c>
      <c r="P53" s="4" t="s">
        <v>1117</v>
      </c>
    </row>
    <row r="54" spans="1:16">
      <c r="A54" s="40">
        <v>1</v>
      </c>
      <c r="B54" s="35" t="s">
        <v>1094</v>
      </c>
      <c r="C54" s="36" t="s">
        <v>1099</v>
      </c>
      <c r="D54" s="5" t="s">
        <v>19</v>
      </c>
      <c r="E54" s="4" t="s">
        <v>643</v>
      </c>
      <c r="F54" s="5">
        <v>52</v>
      </c>
      <c r="G54" s="120" t="s">
        <v>1145</v>
      </c>
      <c r="H54" s="12">
        <v>45505</v>
      </c>
      <c r="I54" s="12">
        <v>45657</v>
      </c>
      <c r="J54" s="20"/>
      <c r="K54" s="5" t="s">
        <v>900</v>
      </c>
      <c r="L54" s="27"/>
      <c r="M54" s="4"/>
      <c r="N54" s="5"/>
      <c r="O54" s="5"/>
      <c r="P54" s="4"/>
    </row>
    <row r="55" spans="1:16" hidden="1">
      <c r="A55" s="35">
        <v>1</v>
      </c>
      <c r="B55" s="35" t="s">
        <v>1094</v>
      </c>
      <c r="C55" s="36" t="s">
        <v>1107</v>
      </c>
      <c r="D55" s="5" t="s">
        <v>64</v>
      </c>
      <c r="E55" s="4" t="s">
        <v>685</v>
      </c>
      <c r="F55" s="5">
        <v>53</v>
      </c>
      <c r="G55" s="5"/>
      <c r="H55" s="12">
        <v>45537</v>
      </c>
      <c r="I55" s="12">
        <v>45541</v>
      </c>
      <c r="J55" s="20">
        <v>32</v>
      </c>
      <c r="K55" s="5" t="s">
        <v>900</v>
      </c>
      <c r="L55" s="27">
        <v>1440</v>
      </c>
      <c r="M55" s="4"/>
      <c r="N55" s="5" t="s">
        <v>1096</v>
      </c>
      <c r="O55" s="5" t="s">
        <v>144</v>
      </c>
      <c r="P55" s="4" t="s">
        <v>1102</v>
      </c>
    </row>
    <row r="56" spans="1:16" hidden="1">
      <c r="A56" s="40">
        <v>1</v>
      </c>
      <c r="B56" s="40" t="s">
        <v>1094</v>
      </c>
      <c r="C56" s="36" t="s">
        <v>1095</v>
      </c>
      <c r="D56" s="5" t="s">
        <v>20</v>
      </c>
      <c r="E56" s="4" t="s">
        <v>736</v>
      </c>
      <c r="F56" s="5">
        <v>54</v>
      </c>
      <c r="G56" s="4" t="s">
        <v>1146</v>
      </c>
      <c r="H56" s="12">
        <v>45537</v>
      </c>
      <c r="I56" s="12">
        <v>45555</v>
      </c>
      <c r="J56" s="20"/>
      <c r="K56" s="5" t="s">
        <v>900</v>
      </c>
      <c r="L56" s="112"/>
      <c r="M56" s="4"/>
      <c r="N56" s="5" t="s">
        <v>1096</v>
      </c>
      <c r="O56" s="5" t="s">
        <v>40</v>
      </c>
      <c r="P56" s="4" t="s">
        <v>1097</v>
      </c>
    </row>
    <row r="57" spans="1:16" hidden="1">
      <c r="A57" s="35">
        <v>1</v>
      </c>
      <c r="B57" s="40" t="s">
        <v>1094</v>
      </c>
      <c r="C57" s="36" t="s">
        <v>1095</v>
      </c>
      <c r="D57" s="5" t="s">
        <v>20</v>
      </c>
      <c r="E57" s="4" t="s">
        <v>788</v>
      </c>
      <c r="F57" s="5">
        <v>55</v>
      </c>
      <c r="G57" s="120" t="s">
        <v>1147</v>
      </c>
      <c r="H57" s="12">
        <v>45536</v>
      </c>
      <c r="I57" s="12">
        <v>45626</v>
      </c>
      <c r="J57" s="20"/>
      <c r="K57" s="5" t="s">
        <v>900</v>
      </c>
      <c r="L57" s="113"/>
      <c r="M57" s="4"/>
      <c r="N57" s="5" t="s">
        <v>1096</v>
      </c>
      <c r="O57" s="5" t="s">
        <v>40</v>
      </c>
      <c r="P57" s="4" t="s">
        <v>1097</v>
      </c>
    </row>
    <row r="58" spans="1:16" ht="15" hidden="1" customHeight="1">
      <c r="A58" s="35">
        <v>1</v>
      </c>
      <c r="B58" s="41" t="s">
        <v>1094</v>
      </c>
      <c r="C58" s="36" t="s">
        <v>1107</v>
      </c>
      <c r="D58" s="5" t="s">
        <v>64</v>
      </c>
      <c r="E58" s="4" t="s">
        <v>843</v>
      </c>
      <c r="F58" s="5">
        <v>56</v>
      </c>
      <c r="G58" s="5"/>
      <c r="H58" s="12">
        <v>45551</v>
      </c>
      <c r="I58" s="12">
        <v>45555</v>
      </c>
      <c r="J58" s="20">
        <v>30</v>
      </c>
      <c r="K58" s="5" t="s">
        <v>900</v>
      </c>
      <c r="L58" s="27">
        <v>1050</v>
      </c>
      <c r="M58" s="4"/>
      <c r="N58" s="5" t="s">
        <v>1096</v>
      </c>
      <c r="O58" s="5" t="s">
        <v>40</v>
      </c>
      <c r="P58" s="4" t="s">
        <v>1097</v>
      </c>
    </row>
    <row r="59" spans="1:16" ht="15" hidden="1" customHeight="1">
      <c r="A59" s="35">
        <v>1</v>
      </c>
      <c r="B59" s="41" t="s">
        <v>1094</v>
      </c>
      <c r="C59" s="36" t="s">
        <v>1107</v>
      </c>
      <c r="D59" s="5" t="s">
        <v>64</v>
      </c>
      <c r="E59" s="4" t="s">
        <v>968</v>
      </c>
      <c r="F59" s="5">
        <v>57</v>
      </c>
      <c r="G59" s="5"/>
      <c r="H59" s="12">
        <v>45572</v>
      </c>
      <c r="I59" s="12">
        <v>45597</v>
      </c>
      <c r="J59" s="20">
        <v>400</v>
      </c>
      <c r="K59" s="5" t="s">
        <v>900</v>
      </c>
      <c r="L59" s="27">
        <v>14000</v>
      </c>
      <c r="M59" s="4"/>
      <c r="N59" s="5" t="s">
        <v>1096</v>
      </c>
      <c r="O59" s="5" t="s">
        <v>1108</v>
      </c>
      <c r="P59" s="4" t="s">
        <v>1105</v>
      </c>
    </row>
    <row r="60" spans="1:16" ht="15" customHeight="1">
      <c r="A60" s="35"/>
      <c r="B60" s="41"/>
      <c r="C60" s="36"/>
      <c r="D60" s="5"/>
      <c r="E60" s="4"/>
      <c r="F60" s="5"/>
      <c r="G60" s="5"/>
      <c r="H60" s="12"/>
      <c r="I60" s="12"/>
      <c r="J60" s="20"/>
      <c r="K60" s="5"/>
      <c r="L60" s="27"/>
      <c r="M60" s="4"/>
      <c r="N60" s="5"/>
      <c r="O60" s="5"/>
      <c r="P60" s="4"/>
    </row>
    <row r="61" spans="1:16" ht="15" customHeight="1">
      <c r="A61" s="35"/>
      <c r="B61" s="41"/>
      <c r="C61" s="36"/>
      <c r="D61" s="5"/>
      <c r="E61" s="4"/>
      <c r="F61" s="5"/>
      <c r="G61" s="5"/>
      <c r="H61" s="12"/>
      <c r="I61" s="12"/>
      <c r="J61" s="20"/>
      <c r="K61" s="5"/>
      <c r="L61" s="27"/>
      <c r="M61" s="4"/>
      <c r="N61" s="5"/>
      <c r="O61" s="5"/>
      <c r="P61" s="4"/>
    </row>
    <row r="62" spans="1:16" ht="15" customHeight="1">
      <c r="A62" s="35"/>
      <c r="B62" s="41"/>
      <c r="C62" s="36"/>
      <c r="D62" s="5"/>
      <c r="E62" s="4"/>
      <c r="F62" s="5"/>
      <c r="G62" s="5"/>
      <c r="H62" s="12"/>
      <c r="I62" s="12"/>
      <c r="J62" s="20"/>
      <c r="K62" s="5"/>
      <c r="L62" s="27"/>
      <c r="M62" s="4"/>
      <c r="N62" s="5"/>
      <c r="O62" s="5"/>
      <c r="P62" s="4"/>
    </row>
    <row r="63" spans="1:16" ht="15" customHeight="1">
      <c r="A63" s="35"/>
      <c r="B63" s="41"/>
      <c r="C63" s="36"/>
      <c r="D63" s="5"/>
      <c r="E63" s="4"/>
      <c r="F63" s="5"/>
      <c r="G63" s="5"/>
      <c r="H63" s="12"/>
      <c r="I63" s="12"/>
      <c r="J63" s="20"/>
      <c r="K63" s="5"/>
      <c r="L63" s="27"/>
      <c r="M63" s="4"/>
      <c r="N63" s="5"/>
      <c r="O63" s="5"/>
      <c r="P63" s="4"/>
    </row>
    <row r="64" spans="1:16" ht="15" customHeight="1">
      <c r="A64" s="35"/>
      <c r="B64" s="41"/>
      <c r="C64" s="36"/>
      <c r="D64" s="5"/>
      <c r="E64" s="4"/>
      <c r="F64" s="5"/>
      <c r="G64" s="5"/>
      <c r="H64" s="12"/>
      <c r="I64" s="12"/>
      <c r="J64" s="20"/>
      <c r="K64" s="5"/>
      <c r="L64" s="27"/>
      <c r="M64" s="4"/>
      <c r="N64" s="5"/>
      <c r="O64" s="5"/>
      <c r="P64" s="4"/>
    </row>
    <row r="65" spans="1:16" ht="15" customHeight="1">
      <c r="A65" s="35"/>
      <c r="B65" s="41"/>
      <c r="C65" s="36"/>
      <c r="D65" s="5"/>
      <c r="E65" s="4"/>
      <c r="F65" s="5"/>
      <c r="G65" s="5"/>
      <c r="H65" s="12"/>
      <c r="I65" s="12"/>
      <c r="J65" s="20"/>
      <c r="K65" s="5"/>
      <c r="L65" s="27"/>
      <c r="M65" s="4"/>
      <c r="N65" s="5"/>
      <c r="O65" s="5"/>
      <c r="P65" s="4"/>
    </row>
    <row r="66" spans="1:16" ht="15" customHeight="1">
      <c r="A66" s="35"/>
      <c r="B66" s="41"/>
      <c r="C66" s="36"/>
      <c r="D66" s="5"/>
      <c r="E66" s="4"/>
      <c r="F66" s="5"/>
      <c r="G66" s="5"/>
      <c r="H66" s="12"/>
      <c r="I66" s="12"/>
      <c r="J66" s="20"/>
      <c r="K66" s="5"/>
      <c r="L66" s="27"/>
      <c r="M66" s="4"/>
      <c r="N66" s="5"/>
      <c r="O66" s="5"/>
      <c r="P66" s="4"/>
    </row>
    <row r="67" spans="1:16" ht="15" customHeight="1">
      <c r="A67" s="35"/>
      <c r="B67" s="41"/>
      <c r="C67" s="36"/>
      <c r="D67" s="5"/>
      <c r="E67" s="4"/>
      <c r="F67" s="5"/>
      <c r="G67" s="5"/>
      <c r="H67" s="12"/>
      <c r="I67" s="12"/>
      <c r="J67" s="20"/>
      <c r="K67" s="5"/>
      <c r="L67" s="27"/>
      <c r="M67" s="4"/>
      <c r="N67" s="5"/>
      <c r="O67" s="5"/>
      <c r="P67" s="4"/>
    </row>
    <row r="68" spans="1:16" ht="15" customHeight="1">
      <c r="A68" s="35"/>
      <c r="B68" s="41"/>
      <c r="C68" s="36"/>
      <c r="D68" s="5"/>
      <c r="E68" s="4"/>
      <c r="F68" s="5"/>
      <c r="G68" s="5"/>
      <c r="H68" s="12"/>
      <c r="I68" s="12"/>
      <c r="J68" s="20"/>
      <c r="K68" s="5"/>
      <c r="L68" s="27"/>
      <c r="M68" s="4"/>
      <c r="N68" s="5"/>
      <c r="O68" s="5"/>
      <c r="P68" s="4"/>
    </row>
    <row r="69" spans="1:16" ht="15" customHeight="1">
      <c r="A69" s="35"/>
      <c r="B69" s="41"/>
      <c r="C69" s="36"/>
      <c r="D69" s="5"/>
      <c r="E69" s="4"/>
      <c r="F69" s="5"/>
      <c r="G69" s="5"/>
      <c r="H69" s="12"/>
      <c r="I69" s="12"/>
      <c r="J69" s="20"/>
      <c r="K69" s="5"/>
      <c r="L69" s="27"/>
      <c r="M69" s="4"/>
      <c r="N69" s="5"/>
      <c r="O69" s="5"/>
      <c r="P69" s="4"/>
    </row>
    <row r="70" spans="1:16" ht="15" customHeight="1">
      <c r="A70" s="35"/>
      <c r="B70" s="41"/>
      <c r="C70" s="36"/>
      <c r="D70" s="5"/>
      <c r="E70" s="4"/>
      <c r="F70" s="5"/>
      <c r="G70" s="5"/>
      <c r="H70" s="12"/>
      <c r="I70" s="12"/>
      <c r="J70" s="20"/>
      <c r="K70" s="5"/>
      <c r="L70" s="27"/>
      <c r="M70" s="4"/>
      <c r="N70" s="5"/>
      <c r="O70" s="5"/>
      <c r="P70" s="4"/>
    </row>
    <row r="71" spans="1:16" ht="15" customHeight="1">
      <c r="A71" s="35"/>
      <c r="B71" s="41"/>
      <c r="C71" s="36"/>
      <c r="D71" s="5"/>
      <c r="E71" s="4"/>
      <c r="F71" s="5"/>
      <c r="G71" s="5"/>
      <c r="H71" s="12"/>
      <c r="I71" s="12"/>
      <c r="J71" s="20"/>
      <c r="K71" s="5"/>
      <c r="L71" s="27"/>
      <c r="M71" s="4"/>
      <c r="N71" s="5"/>
      <c r="O71" s="5"/>
      <c r="P71" s="4"/>
    </row>
    <row r="72" spans="1:16" ht="15" customHeight="1">
      <c r="A72" s="35"/>
      <c r="B72" s="41"/>
      <c r="C72" s="36"/>
      <c r="D72" s="5"/>
      <c r="E72" s="4"/>
      <c r="F72" s="5"/>
      <c r="G72" s="5"/>
      <c r="H72" s="12"/>
      <c r="I72" s="12"/>
      <c r="J72" s="20"/>
      <c r="K72" s="5"/>
      <c r="L72" s="27"/>
      <c r="M72" s="4"/>
      <c r="N72" s="5"/>
      <c r="O72" s="5"/>
      <c r="P72" s="4"/>
    </row>
    <row r="73" spans="1:16" ht="15" customHeight="1">
      <c r="A73" s="35"/>
      <c r="B73" s="41"/>
      <c r="C73" s="36"/>
      <c r="D73" s="5"/>
      <c r="E73" s="4"/>
      <c r="F73" s="5"/>
      <c r="G73" s="5"/>
      <c r="H73" s="12"/>
      <c r="I73" s="12"/>
      <c r="J73" s="20"/>
      <c r="K73" s="5"/>
      <c r="L73" s="27"/>
      <c r="M73" s="4"/>
      <c r="N73" s="5"/>
      <c r="O73" s="5"/>
      <c r="P73" s="4"/>
    </row>
    <row r="74" spans="1:16" ht="15" customHeight="1">
      <c r="A74" s="35"/>
      <c r="B74" s="41"/>
      <c r="C74" s="36"/>
      <c r="D74" s="5"/>
      <c r="E74" s="4"/>
      <c r="F74" s="5"/>
      <c r="G74" s="5"/>
      <c r="H74" s="12"/>
      <c r="I74" s="12"/>
      <c r="J74" s="20"/>
      <c r="K74" s="5"/>
      <c r="L74" s="27"/>
      <c r="M74" s="4"/>
      <c r="N74" s="5"/>
      <c r="O74" s="5"/>
      <c r="P74" s="4"/>
    </row>
    <row r="75" spans="1:16" ht="15" customHeight="1">
      <c r="A75" s="35"/>
      <c r="B75" s="41"/>
      <c r="C75" s="36"/>
      <c r="D75" s="5"/>
      <c r="E75" s="4"/>
      <c r="F75" s="5"/>
      <c r="G75" s="5"/>
      <c r="H75" s="12"/>
      <c r="I75" s="12"/>
      <c r="J75" s="20"/>
      <c r="K75" s="5"/>
      <c r="L75" s="27"/>
      <c r="M75" s="4"/>
      <c r="N75" s="5"/>
      <c r="O75" s="5"/>
      <c r="P75" s="4"/>
    </row>
    <row r="76" spans="1:16" ht="15" customHeight="1">
      <c r="A76" s="35"/>
      <c r="B76" s="41"/>
      <c r="C76" s="36"/>
      <c r="D76" s="5"/>
      <c r="E76" s="4"/>
      <c r="F76" s="5"/>
      <c r="G76" s="5"/>
      <c r="H76" s="12"/>
      <c r="I76" s="12"/>
      <c r="J76" s="20"/>
      <c r="K76" s="5"/>
      <c r="L76" s="27"/>
      <c r="M76" s="4"/>
      <c r="N76" s="5"/>
      <c r="O76" s="5"/>
      <c r="P76" s="4"/>
    </row>
  </sheetData>
  <autoFilter ref="C2:P59" xr:uid="{34BD7471-6F21-4E52-925D-32CEEF8BEB65}">
    <filterColumn colId="1">
      <filters>
        <filter val="Ely Bastos"/>
      </filters>
    </filterColumn>
  </autoFilter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92BAEA8B-27DB-426E-95CF-4C7D940E30AE}">
          <x14:formula1>
            <xm:f>'Tabela Hora x Custo Colaborador'!$D$3:$D$14</xm:f>
          </x14:formula1>
          <xm:sqref>D3:D53</xm:sqref>
        </x14:dataValidation>
        <x14:dataValidation type="list" allowBlank="1" showInputMessage="1" showErrorMessage="1" xr:uid="{1B13150A-1AA2-49AE-ADBF-024E5069B15F}">
          <x14:formula1>
            <xm:f>'Status do Projeto'!$B$3:$B$6</xm:f>
          </x14:formula1>
          <xm:sqref>K3:K76</xm:sqref>
        </x14:dataValidation>
        <x14:dataValidation type="list" allowBlank="1" showInputMessage="1" showErrorMessage="1" xr:uid="{9AEDCBC0-61F2-4293-A0D8-0ABA9886ED53}">
          <x14:formula1>
            <xm:f>'Fontes de Recursos'!$B$3:$B$4</xm:f>
          </x14:formula1>
          <xm:sqref>N3:N76</xm:sqref>
        </x14:dataValidation>
        <x14:dataValidation type="list" allowBlank="1" showInputMessage="1" showErrorMessage="1" xr:uid="{349375F3-1F7D-4842-8867-5D58015ECB57}">
          <x14:formula1>
            <xm:f>'Classe do Projeto'!$B$3:$B$8</xm:f>
          </x14:formula1>
          <xm:sqref>O3:O32</xm:sqref>
        </x14:dataValidation>
        <x14:dataValidation type="list" allowBlank="1" showInputMessage="1" showErrorMessage="1" xr:uid="{DE943112-EC1E-4B96-8B53-9FCE99F08BA9}">
          <x14:formula1>
            <xm:f>'Cliente Final'!$B$3:$B$9</xm:f>
          </x14:formula1>
          <xm:sqref>P6:P12 P14:P34</xm:sqref>
        </x14:dataValidation>
        <x14:dataValidation type="list" allowBlank="1" showInputMessage="1" showErrorMessage="1" xr:uid="{9738F1B5-6CB1-4662-AE6C-7ADA3FC4BFE6}">
          <x14:formula1>
            <xm:f>'Cliente Final'!$B$3:$B$10</xm:f>
          </x14:formula1>
          <xm:sqref>P3:P5 P13 P35:P37</xm:sqref>
        </x14:dataValidation>
        <x14:dataValidation type="list" allowBlank="1" showInputMessage="1" showErrorMessage="1" xr:uid="{7F1BDE56-F795-42E4-9937-CE8093F8A5D1}">
          <x14:formula1>
            <xm:f>'Classe do Projeto'!$B$3:$B$10</xm:f>
          </x14:formula1>
          <xm:sqref>O33:O76</xm:sqref>
        </x14:dataValidation>
        <x14:dataValidation type="list" allowBlank="1" showInputMessage="1" showErrorMessage="1" xr:uid="{CE6D4CDE-4DA1-4B70-907E-02D06ED88E7A}">
          <x14:formula1>
            <xm:f>'Áreas da Demanda'!$B$3:$B$6</xm:f>
          </x14:formula1>
          <xm:sqref>C3:C76</xm:sqref>
        </x14:dataValidation>
        <x14:dataValidation type="list" allowBlank="1" showInputMessage="1" showErrorMessage="1" xr:uid="{C7C48EBD-5128-433F-9D16-82A6291A9AC9}">
          <x14:formula1>
            <xm:f>'Cliente Final'!$B$3:$B$12</xm:f>
          </x14:formula1>
          <xm:sqref>P38:P76</xm:sqref>
        </x14:dataValidation>
        <x14:dataValidation type="list" allowBlank="1" showInputMessage="1" showErrorMessage="1" xr:uid="{A07CA631-196E-47A2-AC50-28D64A8CA1C1}">
          <x14:formula1>
            <xm:f>'Tabela Hora x Custo Colaborador'!$D$3:$D$16</xm:f>
          </x14:formula1>
          <xm:sqref>D54:D76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4288-0FD2-47A6-A393-7DF81AFFD438}">
  <dimension ref="B2:J16"/>
  <sheetViews>
    <sheetView showGridLines="0" workbookViewId="0"/>
  </sheetViews>
  <sheetFormatPr defaultRowHeight="15" customHeight="1"/>
  <cols>
    <col min="2" max="3" width="13.28515625" style="3" customWidth="1"/>
    <col min="4" max="4" width="18" customWidth="1"/>
    <col min="5" max="5" width="21.5703125" bestFit="1" customWidth="1"/>
    <col min="6" max="6" width="15.42578125" customWidth="1"/>
    <col min="7" max="7" width="16.7109375" customWidth="1"/>
    <col min="8" max="8" width="19.28515625" customWidth="1"/>
    <col min="11" max="11" width="16.7109375" customWidth="1"/>
    <col min="12" max="12" width="14.85546875" customWidth="1"/>
  </cols>
  <sheetData>
    <row r="2" spans="2:10" ht="35.450000000000003" customHeight="1">
      <c r="B2" s="7" t="s">
        <v>1148</v>
      </c>
      <c r="C2" s="7" t="s">
        <v>1149</v>
      </c>
      <c r="D2" s="7" t="s">
        <v>1150</v>
      </c>
      <c r="E2" s="7" t="s">
        <v>1151</v>
      </c>
      <c r="F2" s="7" t="s">
        <v>1152</v>
      </c>
      <c r="G2" s="7" t="s">
        <v>1153</v>
      </c>
      <c r="H2" s="8" t="s">
        <v>1154</v>
      </c>
    </row>
    <row r="3" spans="2:10">
      <c r="B3" s="5">
        <v>1</v>
      </c>
      <c r="C3" s="5" t="s">
        <v>1155</v>
      </c>
      <c r="D3" s="4" t="s">
        <v>18</v>
      </c>
      <c r="E3" s="4" t="s">
        <v>1156</v>
      </c>
      <c r="F3" s="5">
        <v>8</v>
      </c>
      <c r="G3" s="5">
        <v>160</v>
      </c>
      <c r="H3" s="9">
        <v>150</v>
      </c>
    </row>
    <row r="4" spans="2:10">
      <c r="B4" s="5">
        <v>2</v>
      </c>
      <c r="C4" s="5" t="s">
        <v>1155</v>
      </c>
      <c r="D4" s="4" t="s">
        <v>20</v>
      </c>
      <c r="E4" s="4" t="s">
        <v>1157</v>
      </c>
      <c r="F4" s="6">
        <v>8</v>
      </c>
      <c r="G4" s="5">
        <v>160</v>
      </c>
      <c r="H4" s="9">
        <v>65</v>
      </c>
    </row>
    <row r="5" spans="2:10">
      <c r="B5" s="5">
        <v>3</v>
      </c>
      <c r="C5" s="5" t="s">
        <v>1155</v>
      </c>
      <c r="D5" s="4" t="s">
        <v>34</v>
      </c>
      <c r="E5" s="4" t="s">
        <v>1158</v>
      </c>
      <c r="F5" s="6">
        <v>8</v>
      </c>
      <c r="G5" s="5">
        <v>160</v>
      </c>
      <c r="H5" s="9">
        <v>55</v>
      </c>
    </row>
    <row r="6" spans="2:10">
      <c r="B6" s="5">
        <v>4</v>
      </c>
      <c r="C6" s="5" t="s">
        <v>1159</v>
      </c>
      <c r="D6" s="4" t="s">
        <v>42</v>
      </c>
      <c r="E6" s="4" t="s">
        <v>1160</v>
      </c>
      <c r="F6" s="6">
        <v>8</v>
      </c>
      <c r="G6" s="5">
        <v>160</v>
      </c>
      <c r="H6" s="9">
        <v>35</v>
      </c>
    </row>
    <row r="7" spans="2:10">
      <c r="B7" s="5">
        <v>5</v>
      </c>
      <c r="C7" s="5" t="s">
        <v>1159</v>
      </c>
      <c r="D7" s="4" t="s">
        <v>28</v>
      </c>
      <c r="E7" s="4" t="s">
        <v>1161</v>
      </c>
      <c r="F7" s="6">
        <v>8</v>
      </c>
      <c r="G7" s="5">
        <v>160</v>
      </c>
      <c r="H7" s="9">
        <v>35</v>
      </c>
    </row>
    <row r="8" spans="2:10">
      <c r="B8" s="5">
        <v>6</v>
      </c>
      <c r="C8" s="5" t="s">
        <v>1155</v>
      </c>
      <c r="D8" s="4" t="s">
        <v>174</v>
      </c>
      <c r="E8" s="4" t="s">
        <v>1162</v>
      </c>
      <c r="F8" s="6">
        <v>8</v>
      </c>
      <c r="G8" s="5">
        <v>160</v>
      </c>
      <c r="H8" s="9">
        <v>45</v>
      </c>
    </row>
    <row r="9" spans="2:10">
      <c r="B9" s="5">
        <v>7</v>
      </c>
      <c r="C9" s="5" t="s">
        <v>1155</v>
      </c>
      <c r="D9" s="4" t="s">
        <v>19</v>
      </c>
      <c r="E9" s="4" t="s">
        <v>1163</v>
      </c>
      <c r="F9" s="6">
        <v>8</v>
      </c>
      <c r="G9" s="5">
        <v>160</v>
      </c>
      <c r="H9" s="9">
        <v>55</v>
      </c>
    </row>
    <row r="10" spans="2:10">
      <c r="B10" s="5">
        <v>8</v>
      </c>
      <c r="C10" s="5" t="s">
        <v>1164</v>
      </c>
      <c r="D10" s="4" t="s">
        <v>13</v>
      </c>
      <c r="E10" s="4" t="s">
        <v>1165</v>
      </c>
      <c r="F10" s="6">
        <v>6</v>
      </c>
      <c r="G10" s="5">
        <v>120</v>
      </c>
      <c r="H10" s="9">
        <v>15</v>
      </c>
    </row>
    <row r="11" spans="2:10">
      <c r="B11" s="5">
        <v>9</v>
      </c>
      <c r="C11" s="5" t="s">
        <v>1164</v>
      </c>
      <c r="D11" s="4" t="s">
        <v>1166</v>
      </c>
      <c r="E11" s="4" t="s">
        <v>1167</v>
      </c>
      <c r="F11" s="6">
        <v>6</v>
      </c>
      <c r="G11" s="5">
        <v>120</v>
      </c>
      <c r="H11" s="9">
        <v>15</v>
      </c>
    </row>
    <row r="12" spans="2:10">
      <c r="B12" s="5">
        <v>10</v>
      </c>
      <c r="C12" s="5" t="s">
        <v>1155</v>
      </c>
      <c r="D12" s="4" t="s">
        <v>64</v>
      </c>
      <c r="E12" s="4" t="s">
        <v>1168</v>
      </c>
      <c r="F12" s="6">
        <v>8</v>
      </c>
      <c r="G12" s="5">
        <v>160</v>
      </c>
      <c r="H12" s="9">
        <v>25</v>
      </c>
    </row>
    <row r="13" spans="2:10">
      <c r="B13" s="5">
        <v>11</v>
      </c>
      <c r="C13" s="5" t="s">
        <v>1164</v>
      </c>
      <c r="D13" s="4" t="s">
        <v>66</v>
      </c>
      <c r="E13" s="4" t="s">
        <v>1165</v>
      </c>
      <c r="F13" s="6">
        <v>6</v>
      </c>
      <c r="G13" s="5">
        <v>120</v>
      </c>
      <c r="H13" s="9">
        <v>15</v>
      </c>
    </row>
    <row r="14" spans="2:10">
      <c r="B14" s="44">
        <v>12</v>
      </c>
      <c r="C14" s="44" t="s">
        <v>1155</v>
      </c>
      <c r="D14" s="24" t="s">
        <v>178</v>
      </c>
      <c r="E14" s="24" t="s">
        <v>1169</v>
      </c>
      <c r="F14" s="57">
        <v>8</v>
      </c>
      <c r="G14" s="44">
        <v>160</v>
      </c>
      <c r="H14" s="58">
        <v>25</v>
      </c>
      <c r="J14" s="31"/>
    </row>
    <row r="15" spans="2:10" ht="15" customHeight="1">
      <c r="B15" s="35">
        <v>13</v>
      </c>
      <c r="C15" s="5" t="s">
        <v>1164</v>
      </c>
      <c r="D15" s="22" t="s">
        <v>528</v>
      </c>
      <c r="E15" s="4" t="s">
        <v>1167</v>
      </c>
      <c r="F15" s="6">
        <v>6</v>
      </c>
      <c r="G15" s="5">
        <v>120</v>
      </c>
      <c r="H15" s="9">
        <v>15</v>
      </c>
    </row>
    <row r="16" spans="2:10" ht="15" customHeight="1">
      <c r="B16" s="35">
        <v>14</v>
      </c>
      <c r="C16" s="5" t="s">
        <v>1164</v>
      </c>
      <c r="D16" s="22" t="s">
        <v>525</v>
      </c>
      <c r="E16" s="4" t="s">
        <v>1167</v>
      </c>
      <c r="F16" s="6">
        <v>6</v>
      </c>
      <c r="G16" s="5">
        <v>120</v>
      </c>
      <c r="H16" s="9">
        <v>15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CB45-F1AD-446F-B816-B554A8C5C910}">
  <dimension ref="B2:B9"/>
  <sheetViews>
    <sheetView showGridLines="0" workbookViewId="0">
      <selection activeCell="H26" sqref="H26"/>
    </sheetView>
  </sheetViews>
  <sheetFormatPr defaultRowHeight="15"/>
  <cols>
    <col min="2" max="2" width="15.42578125" bestFit="1" customWidth="1"/>
  </cols>
  <sheetData>
    <row r="2" spans="2:2">
      <c r="B2" s="11" t="s">
        <v>1092</v>
      </c>
    </row>
    <row r="3" spans="2:2">
      <c r="B3" s="4" t="s">
        <v>40</v>
      </c>
    </row>
    <row r="4" spans="2:2">
      <c r="B4" s="4" t="s">
        <v>1108</v>
      </c>
    </row>
    <row r="5" spans="2:2">
      <c r="B5" s="4" t="s">
        <v>144</v>
      </c>
    </row>
    <row r="6" spans="2:2">
      <c r="B6" s="4" t="s">
        <v>1103</v>
      </c>
    </row>
    <row r="7" spans="2:2">
      <c r="B7" s="4" t="s">
        <v>1170</v>
      </c>
    </row>
    <row r="8" spans="2:2">
      <c r="B8" s="24" t="s">
        <v>119</v>
      </c>
    </row>
    <row r="9" spans="2:2">
      <c r="B9" s="22" t="s">
        <v>1121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D8A-9A17-4E4E-91F4-FFFE886E164E}">
  <dimension ref="B2:B32"/>
  <sheetViews>
    <sheetView showGridLines="0" workbookViewId="0">
      <selection activeCell="H26" sqref="H26"/>
    </sheetView>
  </sheetViews>
  <sheetFormatPr defaultRowHeight="15"/>
  <cols>
    <col min="2" max="2" width="25.28515625" customWidth="1"/>
  </cols>
  <sheetData>
    <row r="2" spans="2:2">
      <c r="B2" s="11" t="s">
        <v>1093</v>
      </c>
    </row>
    <row r="3" spans="2:2">
      <c r="B3" s="4" t="s">
        <v>1102</v>
      </c>
    </row>
    <row r="4" spans="2:2">
      <c r="B4" s="4" t="s">
        <v>1101</v>
      </c>
    </row>
    <row r="5" spans="2:2">
      <c r="B5" s="4" t="s">
        <v>1105</v>
      </c>
    </row>
    <row r="6" spans="2:2">
      <c r="B6" s="4" t="s">
        <v>1171</v>
      </c>
    </row>
    <row r="7" spans="2:2">
      <c r="B7" s="4" t="s">
        <v>1104</v>
      </c>
    </row>
    <row r="8" spans="2:2">
      <c r="B8" s="4" t="s">
        <v>1117</v>
      </c>
    </row>
    <row r="9" spans="2:2">
      <c r="B9" s="24" t="s">
        <v>1097</v>
      </c>
    </row>
    <row r="10" spans="2:2">
      <c r="B10" s="26" t="s">
        <v>1106</v>
      </c>
    </row>
    <row r="11" spans="2:2">
      <c r="B11" s="22" t="s">
        <v>1172</v>
      </c>
    </row>
    <row r="12" spans="2:2">
      <c r="B12" s="22" t="s">
        <v>1128</v>
      </c>
    </row>
    <row r="13" spans="2:2">
      <c r="B13" s="22"/>
    </row>
    <row r="14" spans="2:2">
      <c r="B14" s="22"/>
    </row>
    <row r="15" spans="2:2">
      <c r="B15" s="22"/>
    </row>
    <row r="16" spans="2:2">
      <c r="B16" s="22"/>
    </row>
    <row r="17" spans="2:2">
      <c r="B17" s="22"/>
    </row>
    <row r="18" spans="2:2">
      <c r="B18" s="22"/>
    </row>
    <row r="19" spans="2:2">
      <c r="B19" s="22"/>
    </row>
    <row r="20" spans="2:2">
      <c r="B20" s="22"/>
    </row>
    <row r="21" spans="2:2">
      <c r="B21" s="22"/>
    </row>
    <row r="22" spans="2:2">
      <c r="B22" s="22"/>
    </row>
    <row r="23" spans="2:2">
      <c r="B23" s="22"/>
    </row>
    <row r="24" spans="2:2">
      <c r="B24" s="22"/>
    </row>
    <row r="25" spans="2:2">
      <c r="B25" s="22"/>
    </row>
    <row r="26" spans="2:2">
      <c r="B26" s="22"/>
    </row>
    <row r="27" spans="2:2">
      <c r="B27" s="22"/>
    </row>
    <row r="28" spans="2:2">
      <c r="B28" s="22"/>
    </row>
    <row r="29" spans="2:2">
      <c r="B29" s="22"/>
    </row>
    <row r="30" spans="2:2">
      <c r="B30" s="22"/>
    </row>
    <row r="31" spans="2:2">
      <c r="B31" s="22"/>
    </row>
    <row r="32" spans="2:2">
      <c r="B32" s="2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0472-DDCB-4281-AD80-2B74383111B4}">
  <dimension ref="B2:B4"/>
  <sheetViews>
    <sheetView showGridLines="0" workbookViewId="0">
      <selection activeCell="H26" sqref="H26"/>
    </sheetView>
  </sheetViews>
  <sheetFormatPr defaultRowHeight="15"/>
  <cols>
    <col min="2" max="2" width="16.28515625" bestFit="1" customWidth="1"/>
  </cols>
  <sheetData>
    <row r="2" spans="2:2">
      <c r="B2" s="11" t="s">
        <v>1173</v>
      </c>
    </row>
    <row r="3" spans="2:2">
      <c r="B3" s="4" t="s">
        <v>1096</v>
      </c>
    </row>
    <row r="4" spans="2:2">
      <c r="B4" s="4" t="s">
        <v>1116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82F2-24E0-430D-9792-7E8B894A505F}">
  <dimension ref="B2:B6"/>
  <sheetViews>
    <sheetView showGridLines="0" workbookViewId="0">
      <selection activeCell="H26" sqref="H26"/>
    </sheetView>
  </sheetViews>
  <sheetFormatPr defaultRowHeight="15"/>
  <cols>
    <col min="2" max="2" width="14" bestFit="1" customWidth="1"/>
  </cols>
  <sheetData>
    <row r="2" spans="2:2">
      <c r="B2" s="11" t="s">
        <v>1174</v>
      </c>
    </row>
    <row r="3" spans="2:2">
      <c r="B3" s="4" t="s">
        <v>1133</v>
      </c>
    </row>
    <row r="4" spans="2:2">
      <c r="B4" s="4" t="s">
        <v>900</v>
      </c>
    </row>
    <row r="5" spans="2:2">
      <c r="B5" s="4" t="s">
        <v>162</v>
      </c>
    </row>
    <row r="6" spans="2:2">
      <c r="B6" s="4" t="s">
        <v>14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5AE1-4412-4ABC-9443-718A391B6DA1}">
  <dimension ref="B2:B35"/>
  <sheetViews>
    <sheetView showGridLines="0" workbookViewId="0">
      <selection activeCell="H26" sqref="H26"/>
    </sheetView>
  </sheetViews>
  <sheetFormatPr defaultRowHeight="15"/>
  <cols>
    <col min="2" max="2" width="21.85546875" bestFit="1" customWidth="1"/>
  </cols>
  <sheetData>
    <row r="2" spans="2:2">
      <c r="B2" s="11" t="s">
        <v>1082</v>
      </c>
    </row>
    <row r="3" spans="2:2">
      <c r="B3" s="4" t="s">
        <v>1095</v>
      </c>
    </row>
    <row r="4" spans="2:2">
      <c r="B4" s="4" t="s">
        <v>1099</v>
      </c>
    </row>
    <row r="5" spans="2:2">
      <c r="B5" s="24" t="s">
        <v>1107</v>
      </c>
    </row>
    <row r="6" spans="2:2">
      <c r="B6" s="22" t="s">
        <v>1112</v>
      </c>
    </row>
    <row r="7" spans="2:2">
      <c r="B7" s="22"/>
    </row>
    <row r="8" spans="2:2">
      <c r="B8" s="22"/>
    </row>
    <row r="9" spans="2:2">
      <c r="B9" s="22"/>
    </row>
    <row r="10" spans="2:2">
      <c r="B10" s="22"/>
    </row>
    <row r="11" spans="2:2">
      <c r="B11" s="22"/>
    </row>
    <row r="12" spans="2:2">
      <c r="B12" s="22"/>
    </row>
    <row r="13" spans="2:2">
      <c r="B13" s="22"/>
    </row>
    <row r="14" spans="2:2">
      <c r="B14" s="22"/>
    </row>
    <row r="15" spans="2:2">
      <c r="B15" s="22"/>
    </row>
    <row r="16" spans="2:2">
      <c r="B16" s="22"/>
    </row>
    <row r="17" spans="2:2">
      <c r="B17" s="22"/>
    </row>
    <row r="18" spans="2:2">
      <c r="B18" s="22"/>
    </row>
    <row r="19" spans="2:2">
      <c r="B19" s="22"/>
    </row>
    <row r="20" spans="2:2">
      <c r="B20" s="22"/>
    </row>
    <row r="21" spans="2:2">
      <c r="B21" s="22"/>
    </row>
    <row r="22" spans="2:2">
      <c r="B22" s="22"/>
    </row>
    <row r="23" spans="2:2">
      <c r="B23" s="22"/>
    </row>
    <row r="24" spans="2:2">
      <c r="B24" s="22"/>
    </row>
    <row r="25" spans="2:2">
      <c r="B25" s="22"/>
    </row>
    <row r="26" spans="2:2">
      <c r="B26" s="22"/>
    </row>
    <row r="27" spans="2:2">
      <c r="B27" s="22"/>
    </row>
    <row r="28" spans="2:2">
      <c r="B28" s="22"/>
    </row>
    <row r="29" spans="2:2">
      <c r="B29" s="22"/>
    </row>
    <row r="30" spans="2:2">
      <c r="B30" s="22"/>
    </row>
    <row r="31" spans="2:2">
      <c r="B31" s="22"/>
    </row>
    <row r="32" spans="2:2">
      <c r="B32" s="22"/>
    </row>
    <row r="33" spans="2:2">
      <c r="B33" s="22"/>
    </row>
    <row r="34" spans="2:2">
      <c r="B34" s="22"/>
    </row>
    <row r="35" spans="2:2">
      <c r="B35" s="2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E633-D68A-4B3F-AA46-AD463D1D5C52}">
  <dimension ref="A1:A21"/>
  <sheetViews>
    <sheetView showGridLines="0" workbookViewId="0">
      <selection activeCell="C15" sqref="C15"/>
    </sheetView>
  </sheetViews>
  <sheetFormatPr defaultRowHeight="15"/>
  <cols>
    <col min="1" max="1" width="26.42578125" customWidth="1"/>
    <col min="2" max="2" width="18.28515625" customWidth="1"/>
  </cols>
  <sheetData>
    <row r="1" spans="1:1">
      <c r="A1" s="13" t="s">
        <v>1175</v>
      </c>
    </row>
    <row r="2" spans="1:1">
      <c r="A2" s="4" t="s">
        <v>49</v>
      </c>
    </row>
    <row r="3" spans="1:1">
      <c r="A3" s="4" t="s">
        <v>21</v>
      </c>
    </row>
    <row r="4" spans="1:1">
      <c r="A4" s="4" t="s">
        <v>26</v>
      </c>
    </row>
    <row r="5" spans="1:1">
      <c r="A5" s="4" t="s">
        <v>65</v>
      </c>
    </row>
    <row r="6" spans="1:1">
      <c r="A6" s="4" t="s">
        <v>40</v>
      </c>
    </row>
    <row r="7" spans="1:1">
      <c r="A7" s="4" t="s">
        <v>11</v>
      </c>
    </row>
    <row r="8" spans="1:1">
      <c r="A8" s="4" t="s">
        <v>23</v>
      </c>
    </row>
    <row r="9" spans="1:1">
      <c r="A9" s="4" t="s">
        <v>16</v>
      </c>
    </row>
    <row r="10" spans="1:1">
      <c r="A10" s="4" t="s">
        <v>31</v>
      </c>
    </row>
    <row r="11" spans="1:1">
      <c r="A11" s="4" t="s">
        <v>25</v>
      </c>
    </row>
    <row r="12" spans="1:1">
      <c r="A12" s="4" t="s">
        <v>158</v>
      </c>
    </row>
    <row r="13" spans="1:1">
      <c r="A13" s="24" t="s">
        <v>247</v>
      </c>
    </row>
    <row r="14" spans="1:1">
      <c r="A14" s="26" t="s">
        <v>144</v>
      </c>
    </row>
    <row r="15" spans="1:1">
      <c r="A15" s="26" t="s">
        <v>691</v>
      </c>
    </row>
    <row r="16" spans="1:1">
      <c r="A16" s="26" t="s">
        <v>119</v>
      </c>
    </row>
    <row r="17" spans="1:1">
      <c r="A17" s="26" t="s">
        <v>153</v>
      </c>
    </row>
    <row r="18" spans="1:1">
      <c r="A18" s="26" t="s">
        <v>193</v>
      </c>
    </row>
    <row r="19" spans="1:1">
      <c r="A19" s="22" t="s">
        <v>288</v>
      </c>
    </row>
    <row r="20" spans="1:1">
      <c r="A20" s="22" t="s">
        <v>316</v>
      </c>
    </row>
    <row r="21" spans="1:1">
      <c r="A21" s="22" t="s">
        <v>835</v>
      </c>
    </row>
  </sheetData>
  <sheetProtection sheet="1" objects="1" scenarios="1"/>
  <sortState xmlns:xlrd2="http://schemas.microsoft.com/office/spreadsheetml/2017/richdata2" ref="A2:A11">
    <sortCondition ref="A2:A11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ACA3-F587-42D5-A4E3-A2BACC435301}">
  <dimension ref="A1:AV11"/>
  <sheetViews>
    <sheetView workbookViewId="0">
      <selection activeCell="F17" sqref="E14:F17"/>
    </sheetView>
  </sheetViews>
  <sheetFormatPr defaultRowHeight="15"/>
  <cols>
    <col min="1" max="1" width="22.5703125" customWidth="1"/>
    <col min="2" max="2" width="11.7109375" customWidth="1"/>
    <col min="3" max="3" width="11.5703125" customWidth="1"/>
    <col min="9" max="9" width="11.42578125" customWidth="1"/>
    <col min="12" max="12" width="11.140625" customWidth="1"/>
    <col min="13" max="13" width="10.85546875" customWidth="1"/>
  </cols>
  <sheetData>
    <row r="1" spans="1:48">
      <c r="A1" s="34" t="s">
        <v>1176</v>
      </c>
      <c r="B1" s="34">
        <v>2</v>
      </c>
      <c r="C1" s="34">
        <v>3</v>
      </c>
      <c r="D1" s="34">
        <v>4</v>
      </c>
      <c r="E1" s="34">
        <v>5</v>
      </c>
      <c r="F1" s="34">
        <v>6</v>
      </c>
      <c r="G1" s="34">
        <v>7</v>
      </c>
      <c r="H1" s="34">
        <v>8</v>
      </c>
      <c r="I1" s="34">
        <v>9</v>
      </c>
      <c r="J1" s="34">
        <v>10</v>
      </c>
      <c r="K1" s="34">
        <v>11</v>
      </c>
      <c r="L1" s="34">
        <v>12</v>
      </c>
      <c r="M1" s="34">
        <v>13</v>
      </c>
      <c r="N1" s="34">
        <v>14</v>
      </c>
      <c r="O1" s="34">
        <v>15</v>
      </c>
      <c r="P1" s="34">
        <v>16</v>
      </c>
      <c r="Q1" s="34">
        <v>17</v>
      </c>
      <c r="R1" s="34">
        <v>18</v>
      </c>
      <c r="S1" s="34">
        <v>19</v>
      </c>
      <c r="T1" s="34">
        <v>20</v>
      </c>
      <c r="U1" s="34">
        <v>21</v>
      </c>
      <c r="V1" s="34">
        <v>22</v>
      </c>
      <c r="W1" s="34" t="s">
        <v>1177</v>
      </c>
      <c r="X1" s="34">
        <v>24</v>
      </c>
      <c r="Y1" s="34">
        <v>25</v>
      </c>
      <c r="Z1" s="34">
        <v>26</v>
      </c>
      <c r="AA1" s="34">
        <v>27</v>
      </c>
      <c r="AB1" s="34">
        <v>28</v>
      </c>
      <c r="AC1" s="34">
        <v>29</v>
      </c>
      <c r="AD1" s="34">
        <v>30</v>
      </c>
      <c r="AE1" s="34">
        <v>31</v>
      </c>
      <c r="AF1" s="34">
        <v>32</v>
      </c>
      <c r="AG1" s="34">
        <v>33</v>
      </c>
      <c r="AH1" s="34">
        <v>34</v>
      </c>
      <c r="AI1" s="34">
        <v>35</v>
      </c>
      <c r="AJ1" s="34">
        <v>36</v>
      </c>
      <c r="AK1" s="34">
        <v>37</v>
      </c>
      <c r="AL1" s="34">
        <v>38</v>
      </c>
      <c r="AM1" s="34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</row>
    <row r="2" spans="1:48">
      <c r="A2" s="4" t="s">
        <v>11</v>
      </c>
      <c r="B2" s="4" t="s">
        <v>11</v>
      </c>
      <c r="C2" s="4" t="s">
        <v>158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  <c r="Q2" s="4" t="s">
        <v>16</v>
      </c>
      <c r="R2" s="4" t="s">
        <v>21</v>
      </c>
      <c r="S2" s="4" t="s">
        <v>119</v>
      </c>
      <c r="T2" s="4" t="s">
        <v>119</v>
      </c>
      <c r="U2" s="4" t="s">
        <v>119</v>
      </c>
      <c r="V2" s="4" t="s">
        <v>21</v>
      </c>
      <c r="W2" s="4" t="s">
        <v>16</v>
      </c>
      <c r="X2" s="4" t="s">
        <v>16</v>
      </c>
      <c r="Y2" s="4" t="s">
        <v>16</v>
      </c>
      <c r="AA2" s="4" t="s">
        <v>11</v>
      </c>
      <c r="AB2" s="4" t="s">
        <v>11</v>
      </c>
      <c r="AC2" s="4" t="s">
        <v>11</v>
      </c>
      <c r="AD2" s="4" t="s">
        <v>16</v>
      </c>
      <c r="AE2" s="4" t="s">
        <v>16</v>
      </c>
      <c r="AF2" s="4" t="s">
        <v>193</v>
      </c>
      <c r="AG2" s="4" t="s">
        <v>49</v>
      </c>
      <c r="AH2" s="4" t="s">
        <v>21</v>
      </c>
      <c r="AJ2" s="4" t="s">
        <v>11</v>
      </c>
      <c r="AK2" s="4" t="s">
        <v>11</v>
      </c>
      <c r="AL2" s="4" t="s">
        <v>31</v>
      </c>
      <c r="AM2" s="4" t="s">
        <v>16</v>
      </c>
    </row>
    <row r="3" spans="1:48">
      <c r="A3" s="4" t="s">
        <v>26</v>
      </c>
      <c r="B3" s="4" t="s">
        <v>21</v>
      </c>
      <c r="C3" s="4" t="s">
        <v>247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21</v>
      </c>
      <c r="J3" s="4" t="s">
        <v>26</v>
      </c>
      <c r="K3" s="4" t="s">
        <v>21</v>
      </c>
      <c r="L3" s="4" t="s">
        <v>11</v>
      </c>
      <c r="M3" s="4" t="s">
        <v>23</v>
      </c>
      <c r="N3" s="4" t="s">
        <v>21</v>
      </c>
      <c r="O3" s="4" t="s">
        <v>21</v>
      </c>
      <c r="P3" s="4" t="s">
        <v>21</v>
      </c>
      <c r="Q3" s="4" t="s">
        <v>21</v>
      </c>
      <c r="R3" s="4" t="s">
        <v>49</v>
      </c>
      <c r="S3" s="4" t="s">
        <v>26</v>
      </c>
      <c r="T3" s="4" t="s">
        <v>26</v>
      </c>
      <c r="U3" s="4" t="s">
        <v>26</v>
      </c>
      <c r="V3" s="4" t="s">
        <v>65</v>
      </c>
      <c r="W3" s="4" t="s">
        <v>21</v>
      </c>
      <c r="X3" s="4" t="s">
        <v>26</v>
      </c>
      <c r="Y3" s="4" t="s">
        <v>49</v>
      </c>
      <c r="AA3" s="4" t="s">
        <v>65</v>
      </c>
      <c r="AB3" s="4" t="s">
        <v>65</v>
      </c>
      <c r="AC3" s="4" t="s">
        <v>65</v>
      </c>
      <c r="AD3" s="4" t="s">
        <v>21</v>
      </c>
      <c r="AE3" s="4" t="s">
        <v>23</v>
      </c>
      <c r="AG3" s="4" t="s">
        <v>119</v>
      </c>
      <c r="AH3" s="4" t="s">
        <v>23</v>
      </c>
      <c r="AJ3" s="4" t="s">
        <v>288</v>
      </c>
      <c r="AK3" s="4" t="s">
        <v>288</v>
      </c>
      <c r="AL3" s="4" t="s">
        <v>23</v>
      </c>
      <c r="AM3" s="4" t="s">
        <v>11</v>
      </c>
    </row>
    <row r="4" spans="1:48">
      <c r="A4" s="4" t="s">
        <v>31</v>
      </c>
      <c r="B4" s="4" t="s">
        <v>26</v>
      </c>
      <c r="C4" s="4" t="s">
        <v>23</v>
      </c>
      <c r="D4" s="4" t="s">
        <v>31</v>
      </c>
      <c r="E4" s="4" t="s">
        <v>31</v>
      </c>
      <c r="F4" s="4" t="s">
        <v>31</v>
      </c>
      <c r="G4" s="4" t="s">
        <v>31</v>
      </c>
      <c r="H4" s="4" t="s">
        <v>31</v>
      </c>
      <c r="I4" s="4" t="s">
        <v>23</v>
      </c>
      <c r="J4" s="4" t="s">
        <v>31</v>
      </c>
      <c r="K4" s="4" t="s">
        <v>65</v>
      </c>
      <c r="L4" s="4" t="s">
        <v>65</v>
      </c>
      <c r="M4" s="4" t="s">
        <v>31</v>
      </c>
      <c r="N4" s="4" t="s">
        <v>65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31</v>
      </c>
      <c r="T4" s="4" t="s">
        <v>31</v>
      </c>
      <c r="U4" s="4" t="s">
        <v>31</v>
      </c>
      <c r="V4" s="4" t="s">
        <v>26</v>
      </c>
      <c r="W4" s="4" t="s">
        <v>31</v>
      </c>
      <c r="X4" s="4" t="s">
        <v>31</v>
      </c>
      <c r="Y4" s="4" t="s">
        <v>26</v>
      </c>
      <c r="AA4" s="4" t="s">
        <v>31</v>
      </c>
      <c r="AB4" s="4" t="s">
        <v>31</v>
      </c>
      <c r="AC4" s="4" t="s">
        <v>31</v>
      </c>
      <c r="AD4" s="4" t="s">
        <v>153</v>
      </c>
      <c r="AE4" s="4" t="s">
        <v>119</v>
      </c>
      <c r="AJ4" s="4" t="s">
        <v>16</v>
      </c>
      <c r="AK4" s="4" t="s">
        <v>16</v>
      </c>
      <c r="AL4" s="4" t="s">
        <v>25</v>
      </c>
      <c r="AM4" s="4" t="s">
        <v>153</v>
      </c>
    </row>
    <row r="5" spans="1:48">
      <c r="A5" s="4" t="s">
        <v>40</v>
      </c>
      <c r="B5" s="4" t="s">
        <v>31</v>
      </c>
      <c r="C5" s="4" t="s">
        <v>49</v>
      </c>
      <c r="D5" s="4" t="s">
        <v>25</v>
      </c>
      <c r="E5" s="4" t="s">
        <v>25</v>
      </c>
      <c r="F5" s="4" t="s">
        <v>49</v>
      </c>
      <c r="G5" s="4" t="s">
        <v>25</v>
      </c>
      <c r="H5" s="4" t="s">
        <v>25</v>
      </c>
      <c r="I5" s="4" t="s">
        <v>25</v>
      </c>
      <c r="J5" s="4" t="s">
        <v>23</v>
      </c>
      <c r="K5" s="4" t="s">
        <v>25</v>
      </c>
      <c r="L5" s="4" t="s">
        <v>26</v>
      </c>
      <c r="M5" s="4" t="s">
        <v>25</v>
      </c>
      <c r="N5" s="4" t="s">
        <v>26</v>
      </c>
      <c r="O5" s="4" t="s">
        <v>31</v>
      </c>
      <c r="P5" s="4" t="s">
        <v>31</v>
      </c>
      <c r="Q5" s="4" t="s">
        <v>31</v>
      </c>
      <c r="R5" s="4" t="s">
        <v>31</v>
      </c>
      <c r="S5" s="4" t="s">
        <v>40</v>
      </c>
      <c r="T5" s="4" t="s">
        <v>40</v>
      </c>
      <c r="V5" s="4" t="s">
        <v>31</v>
      </c>
      <c r="W5" s="4" t="s">
        <v>40</v>
      </c>
      <c r="X5" s="4" t="s">
        <v>25</v>
      </c>
      <c r="Y5" s="4" t="s">
        <v>31</v>
      </c>
      <c r="AA5" s="4" t="s">
        <v>23</v>
      </c>
      <c r="AB5" s="4" t="s">
        <v>23</v>
      </c>
      <c r="AC5" s="4" t="s">
        <v>23</v>
      </c>
      <c r="AD5" s="4" t="s">
        <v>26</v>
      </c>
      <c r="AJ5" s="4" t="s">
        <v>316</v>
      </c>
      <c r="AK5" s="4" t="s">
        <v>316</v>
      </c>
      <c r="AM5" s="4" t="s">
        <v>288</v>
      </c>
    </row>
    <row r="6" spans="1:48">
      <c r="A6" s="24" t="s">
        <v>49</v>
      </c>
      <c r="B6" s="4" t="s">
        <v>40</v>
      </c>
      <c r="I6" s="4" t="s">
        <v>49</v>
      </c>
      <c r="J6" s="4" t="s">
        <v>25</v>
      </c>
      <c r="K6" s="4" t="s">
        <v>26</v>
      </c>
      <c r="L6" s="4" t="s">
        <v>31</v>
      </c>
      <c r="M6" s="4" t="s">
        <v>49</v>
      </c>
      <c r="N6" s="4" t="s">
        <v>31</v>
      </c>
      <c r="O6" s="4" t="s">
        <v>23</v>
      </c>
      <c r="P6" s="4" t="s">
        <v>40</v>
      </c>
      <c r="Q6" s="4" t="s">
        <v>40</v>
      </c>
      <c r="S6" s="4" t="s">
        <v>49</v>
      </c>
      <c r="T6" s="4" t="s">
        <v>49</v>
      </c>
      <c r="V6" s="4" t="s">
        <v>40</v>
      </c>
      <c r="W6" s="4" t="s">
        <v>49</v>
      </c>
      <c r="AA6" s="4" t="s">
        <v>49</v>
      </c>
      <c r="AB6" s="4" t="s">
        <v>49</v>
      </c>
      <c r="AC6" s="4" t="s">
        <v>49</v>
      </c>
      <c r="AJ6" s="4" t="s">
        <v>288</v>
      </c>
      <c r="AK6" s="4" t="s">
        <v>288</v>
      </c>
      <c r="AM6" s="4" t="s">
        <v>158</v>
      </c>
    </row>
    <row r="7" spans="1:48">
      <c r="B7" s="4" t="s">
        <v>25</v>
      </c>
      <c r="J7" s="4" t="s">
        <v>49</v>
      </c>
      <c r="K7" s="4" t="s">
        <v>31</v>
      </c>
      <c r="L7" s="4" t="s">
        <v>23</v>
      </c>
      <c r="N7" s="4" t="s">
        <v>23</v>
      </c>
      <c r="O7" s="4" t="s">
        <v>25</v>
      </c>
      <c r="P7" s="4" t="s">
        <v>23</v>
      </c>
      <c r="Q7" s="4" t="s">
        <v>23</v>
      </c>
      <c r="V7" s="4" t="s">
        <v>25</v>
      </c>
      <c r="AM7" s="4" t="s">
        <v>247</v>
      </c>
    </row>
    <row r="8" spans="1:48">
      <c r="B8" s="4" t="s">
        <v>16</v>
      </c>
      <c r="K8" s="4" t="s">
        <v>40</v>
      </c>
      <c r="L8" s="4" t="s">
        <v>25</v>
      </c>
      <c r="N8" s="4" t="s">
        <v>40</v>
      </c>
      <c r="O8" s="4" t="s">
        <v>144</v>
      </c>
      <c r="P8" s="4" t="s">
        <v>49</v>
      </c>
      <c r="Q8" s="4" t="s">
        <v>49</v>
      </c>
      <c r="V8" s="4" t="s">
        <v>49</v>
      </c>
      <c r="AM8" s="4" t="s">
        <v>31</v>
      </c>
    </row>
    <row r="9" spans="1:48">
      <c r="K9" s="4" t="s">
        <v>23</v>
      </c>
      <c r="N9" s="4" t="s">
        <v>25</v>
      </c>
      <c r="O9" s="4" t="s">
        <v>691</v>
      </c>
      <c r="AM9" s="4" t="s">
        <v>40</v>
      </c>
    </row>
    <row r="10" spans="1:48">
      <c r="K10" s="4" t="s">
        <v>49</v>
      </c>
      <c r="AM10" s="4" t="s">
        <v>23</v>
      </c>
    </row>
    <row r="11" spans="1:48">
      <c r="AM11" s="4" t="s">
        <v>25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AD20DF7-1E57-401C-AF7E-143F453A26AC}">
          <x14:formula1>
            <xm:f>'Etapas Macro'!$A$2:$A$13</xm:f>
          </x14:formula1>
          <xm:sqref>A2 B2:B8 C2:H5 I2:I6 J2:J7 K2:K10 L2:L8 M2:M6 N2:N9 O2:O6 P2:Q8 R2:R5</xm:sqref>
        </x14:dataValidation>
        <x14:dataValidation type="list" allowBlank="1" showInputMessage="1" showErrorMessage="1" xr:uid="{CBF40EF8-2D62-4FEB-A53B-8F24E7506B45}">
          <x14:formula1>
            <xm:f>'Etapas Macro'!$A$2:$A$11</xm:f>
          </x14:formula1>
          <xm:sqref>A3:A6</xm:sqref>
        </x14:dataValidation>
        <x14:dataValidation type="list" allowBlank="1" showInputMessage="1" showErrorMessage="1" xr:uid="{81EEFB32-41FA-4F1A-8939-B7787DAF6B97}">
          <x14:formula1>
            <xm:f>'Etapas Macro'!$A$2:$A$15</xm:f>
          </x14:formula1>
          <xm:sqref>O8:O9</xm:sqref>
        </x14:dataValidation>
        <x14:dataValidation type="list" allowBlank="1" showInputMessage="1" showErrorMessage="1" xr:uid="{4D0FE0AB-27EF-4F5B-BDEA-B69CEAA9E7F6}">
          <x14:formula1>
            <xm:f>'Etapas Macro'!$A$2:$A$14</xm:f>
          </x14:formula1>
          <xm:sqref>O7</xm:sqref>
        </x14:dataValidation>
        <x14:dataValidation type="list" allowBlank="1" showInputMessage="1" showErrorMessage="1" xr:uid="{6877A457-4979-4B62-AC87-10B9135A78F7}">
          <x14:formula1>
            <xm:f>'Etapas Macro'!$A$2:$A$17</xm:f>
          </x14:formula1>
          <xm:sqref>S2:T6 U2:U4 V2:V8 W2:W6 X2:Y5 AA2:AC6 AD2:AD5 AE2:AE4</xm:sqref>
        </x14:dataValidation>
        <x14:dataValidation type="list" allowBlank="1" showInputMessage="1" showErrorMessage="1" xr:uid="{BA514DD4-AB07-4B57-B2C2-558BFE341C10}">
          <x14:formula1>
            <xm:f>'Etapas Macro'!$A$2:$A$19</xm:f>
          </x14:formula1>
          <xm:sqref>AF2 AG2:AH3 AJ2:AL4 AJ6:AK6 AM2:AM11</xm:sqref>
        </x14:dataValidation>
        <x14:dataValidation type="list" allowBlank="1" showInputMessage="1" showErrorMessage="1" xr:uid="{92A92262-4E4B-489B-9620-7B52106EF31C}">
          <x14:formula1>
            <xm:f>'Etapas Macro'!$A$2:$A$21</xm:f>
          </x14:formula1>
          <xm:sqref>AJ5:AK5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FFD3-BA4F-44CD-896A-1A37471C30E8}">
  <sheetPr filterMode="1"/>
  <dimension ref="B2:W230"/>
  <sheetViews>
    <sheetView workbookViewId="0">
      <selection activeCell="D6" sqref="D6"/>
    </sheetView>
  </sheetViews>
  <sheetFormatPr defaultRowHeight="15"/>
  <cols>
    <col min="1" max="1" width="11.5703125" customWidth="1"/>
    <col min="2" max="2" width="37.140625" customWidth="1"/>
    <col min="3" max="3" width="11.28515625" bestFit="1" customWidth="1"/>
    <col min="4" max="4" width="30.140625" customWidth="1"/>
    <col min="5" max="5" width="15.85546875" style="16" customWidth="1"/>
    <col min="6" max="6" width="16.28515625" customWidth="1"/>
    <col min="9" max="9" width="30.7109375" customWidth="1"/>
    <col min="10" max="10" width="13.85546875" bestFit="1" customWidth="1"/>
    <col min="11" max="11" width="25.85546875" customWidth="1"/>
    <col min="13" max="13" width="20.140625" customWidth="1"/>
    <col min="14" max="14" width="13.85546875" customWidth="1"/>
    <col min="15" max="15" width="21.5703125" customWidth="1"/>
    <col min="17" max="17" width="27" customWidth="1"/>
    <col min="18" max="18" width="13.85546875" customWidth="1"/>
    <col min="19" max="19" width="25.85546875" bestFit="1" customWidth="1"/>
    <col min="21" max="21" width="30.7109375" customWidth="1"/>
    <col min="22" max="22" width="13.85546875" customWidth="1"/>
    <col min="23" max="23" width="22.5703125" customWidth="1"/>
  </cols>
  <sheetData>
    <row r="2" spans="2:23" ht="30">
      <c r="B2" s="2" t="s">
        <v>0</v>
      </c>
      <c r="C2" s="2" t="s">
        <v>1084</v>
      </c>
      <c r="D2" s="2" t="s">
        <v>3</v>
      </c>
      <c r="E2" s="14" t="s">
        <v>1178</v>
      </c>
      <c r="F2" s="2" t="s">
        <v>8</v>
      </c>
      <c r="I2" s="2" t="s">
        <v>0</v>
      </c>
      <c r="J2" s="2" t="s">
        <v>1084</v>
      </c>
      <c r="K2" s="2" t="s">
        <v>1179</v>
      </c>
      <c r="M2" s="97" t="s">
        <v>0</v>
      </c>
      <c r="N2" s="98" t="s">
        <v>1084</v>
      </c>
      <c r="O2" s="99" t="s">
        <v>1179</v>
      </c>
      <c r="Q2" s="97" t="s">
        <v>0</v>
      </c>
      <c r="R2" s="98" t="s">
        <v>1084</v>
      </c>
      <c r="S2" s="99" t="s">
        <v>1179</v>
      </c>
      <c r="U2" s="97" t="s">
        <v>0</v>
      </c>
      <c r="V2" s="98" t="s">
        <v>1084</v>
      </c>
      <c r="W2" s="99" t="s">
        <v>1179</v>
      </c>
    </row>
    <row r="3" spans="2:23">
      <c r="B3" s="4" t="s">
        <v>85</v>
      </c>
      <c r="C3" s="5">
        <f>IF(B3&lt;&gt;"",VLOOKUP(B3,Projetos!E:F,2,0),"")</f>
        <v>1</v>
      </c>
      <c r="D3" s="4" t="s">
        <v>11</v>
      </c>
      <c r="E3" s="20">
        <v>6</v>
      </c>
      <c r="F3" s="5" t="s">
        <v>14</v>
      </c>
      <c r="I3" s="4" t="s">
        <v>140</v>
      </c>
      <c r="J3" s="5">
        <v>39</v>
      </c>
      <c r="K3" s="4" t="s">
        <v>16</v>
      </c>
      <c r="M3" t="s">
        <v>33</v>
      </c>
      <c r="N3" s="100">
        <v>18</v>
      </c>
      <c r="O3" t="s">
        <v>21</v>
      </c>
      <c r="Q3" t="s">
        <v>122</v>
      </c>
      <c r="R3">
        <v>24</v>
      </c>
      <c r="S3" t="s">
        <v>16</v>
      </c>
      <c r="U3" t="s">
        <v>176</v>
      </c>
      <c r="V3" s="3">
        <v>31</v>
      </c>
      <c r="W3" t="s">
        <v>16</v>
      </c>
    </row>
    <row r="4" spans="2:23">
      <c r="B4" s="4" t="s">
        <v>85</v>
      </c>
      <c r="C4" s="5">
        <f>IF(B4&lt;&gt;"",VLOOKUP(B4,Projetos!E:F,2,0),"")</f>
        <v>1</v>
      </c>
      <c r="D4" s="4" t="s">
        <v>26</v>
      </c>
      <c r="E4" s="20">
        <v>16</v>
      </c>
      <c r="F4" s="5" t="s">
        <v>14</v>
      </c>
      <c r="I4" s="4" t="s">
        <v>140</v>
      </c>
      <c r="J4" s="5">
        <v>39</v>
      </c>
      <c r="K4" s="4" t="s">
        <v>11</v>
      </c>
      <c r="M4" t="s">
        <v>33</v>
      </c>
      <c r="N4" s="100">
        <v>18</v>
      </c>
      <c r="O4" t="s">
        <v>49</v>
      </c>
      <c r="Q4" t="s">
        <v>122</v>
      </c>
      <c r="R4">
        <v>24</v>
      </c>
      <c r="S4" t="s">
        <v>26</v>
      </c>
      <c r="U4" t="s">
        <v>176</v>
      </c>
      <c r="V4" s="3">
        <v>31</v>
      </c>
      <c r="W4" t="s">
        <v>23</v>
      </c>
    </row>
    <row r="5" spans="2:23">
      <c r="B5" s="4" t="s">
        <v>85</v>
      </c>
      <c r="C5" s="5">
        <f>IF(B5&lt;&gt;"",VLOOKUP(B5,Projetos!E:F,2,0),"")</f>
        <v>1</v>
      </c>
      <c r="D5" s="4" t="s">
        <v>31</v>
      </c>
      <c r="E5" s="20">
        <v>16</v>
      </c>
      <c r="F5" s="5" t="s">
        <v>14</v>
      </c>
      <c r="I5" s="4" t="s">
        <v>140</v>
      </c>
      <c r="J5" s="5">
        <v>39</v>
      </c>
      <c r="K5" s="4" t="s">
        <v>153</v>
      </c>
      <c r="M5" t="s">
        <v>33</v>
      </c>
      <c r="N5" s="100">
        <v>18</v>
      </c>
      <c r="O5" t="s">
        <v>26</v>
      </c>
      <c r="Q5" t="s">
        <v>122</v>
      </c>
      <c r="R5">
        <v>24</v>
      </c>
      <c r="S5" t="s">
        <v>31</v>
      </c>
      <c r="U5" t="s">
        <v>176</v>
      </c>
      <c r="V5" s="3">
        <v>31</v>
      </c>
      <c r="W5" t="s">
        <v>119</v>
      </c>
    </row>
    <row r="6" spans="2:23">
      <c r="B6" s="4" t="s">
        <v>85</v>
      </c>
      <c r="C6" s="5">
        <f>IF(B6&lt;&gt;"",VLOOKUP(B6,Projetos!E:F,2,0),"")</f>
        <v>1</v>
      </c>
      <c r="D6" s="4" t="s">
        <v>40</v>
      </c>
      <c r="E6" s="20">
        <v>60</v>
      </c>
      <c r="F6" s="5" t="s">
        <v>14</v>
      </c>
      <c r="I6" s="4" t="s">
        <v>140</v>
      </c>
      <c r="J6" s="5">
        <v>39</v>
      </c>
      <c r="K6" s="4" t="s">
        <v>288</v>
      </c>
      <c r="M6" t="s">
        <v>33</v>
      </c>
      <c r="N6" s="100">
        <v>18</v>
      </c>
      <c r="O6" t="s">
        <v>31</v>
      </c>
      <c r="Q6" t="s">
        <v>122</v>
      </c>
      <c r="R6">
        <v>24</v>
      </c>
      <c r="S6" t="s">
        <v>25</v>
      </c>
      <c r="V6" s="3"/>
    </row>
    <row r="7" spans="2:23">
      <c r="B7" s="4" t="s">
        <v>85</v>
      </c>
      <c r="C7" s="5">
        <f>IF(B7&lt;&gt;"",VLOOKUP(B7,Projetos!E:F,2,0),"")</f>
        <v>1</v>
      </c>
      <c r="D7" s="4" t="s">
        <v>49</v>
      </c>
      <c r="E7" s="20">
        <v>10</v>
      </c>
      <c r="F7" s="5" t="s">
        <v>14</v>
      </c>
      <c r="I7" s="4" t="s">
        <v>140</v>
      </c>
      <c r="J7" s="5">
        <v>39</v>
      </c>
      <c r="K7" s="4" t="s">
        <v>158</v>
      </c>
      <c r="U7" s="97" t="s">
        <v>0</v>
      </c>
      <c r="V7" s="98" t="s">
        <v>1084</v>
      </c>
      <c r="W7" s="99" t="s">
        <v>1179</v>
      </c>
    </row>
    <row r="8" spans="2:23" hidden="1">
      <c r="B8" s="4" t="s">
        <v>10</v>
      </c>
      <c r="C8" s="5">
        <f>IF(B8&lt;&gt;"",VLOOKUP(B8,Projetos!E:F,2,0),"")</f>
        <v>2</v>
      </c>
      <c r="D8" s="4" t="s">
        <v>11</v>
      </c>
      <c r="E8" s="20">
        <v>10</v>
      </c>
      <c r="F8" s="5" t="s">
        <v>14</v>
      </c>
      <c r="I8" s="4" t="s">
        <v>140</v>
      </c>
      <c r="J8" s="5">
        <v>39</v>
      </c>
      <c r="K8" s="4" t="s">
        <v>247</v>
      </c>
      <c r="M8" s="97" t="s">
        <v>0</v>
      </c>
      <c r="N8" s="98" t="s">
        <v>1084</v>
      </c>
      <c r="O8" s="99" t="s">
        <v>1179</v>
      </c>
      <c r="Q8" s="97" t="s">
        <v>0</v>
      </c>
      <c r="R8" s="98" t="s">
        <v>1084</v>
      </c>
      <c r="S8" s="99" t="s">
        <v>1179</v>
      </c>
      <c r="U8" t="s">
        <v>192</v>
      </c>
      <c r="V8" s="3">
        <v>32</v>
      </c>
      <c r="W8" t="s">
        <v>193</v>
      </c>
    </row>
    <row r="9" spans="2:23" hidden="1">
      <c r="B9" s="4" t="s">
        <v>10</v>
      </c>
      <c r="C9" s="5">
        <f>IF(B9&lt;&gt;"",VLOOKUP(B9,Projetos!E:F,2,0),"")</f>
        <v>2</v>
      </c>
      <c r="D9" s="4" t="s">
        <v>21</v>
      </c>
      <c r="E9" s="20">
        <v>6</v>
      </c>
      <c r="F9" s="5" t="s">
        <v>14</v>
      </c>
      <c r="I9" s="4" t="s">
        <v>140</v>
      </c>
      <c r="J9" s="5">
        <v>39</v>
      </c>
      <c r="K9" s="4" t="s">
        <v>31</v>
      </c>
      <c r="M9" t="s">
        <v>260</v>
      </c>
      <c r="N9" s="3">
        <v>19</v>
      </c>
      <c r="O9" t="s">
        <v>119</v>
      </c>
      <c r="Q9" t="s">
        <v>136</v>
      </c>
      <c r="R9">
        <v>25</v>
      </c>
      <c r="S9" t="s">
        <v>16</v>
      </c>
    </row>
    <row r="10" spans="2:23" hidden="1">
      <c r="B10" s="4" t="s">
        <v>10</v>
      </c>
      <c r="C10" s="5">
        <f>IF(B10&lt;&gt;"",VLOOKUP(B10,Projetos!E:F,2,0),"")</f>
        <v>2</v>
      </c>
      <c r="D10" s="4" t="s">
        <v>26</v>
      </c>
      <c r="E10" s="20">
        <v>170</v>
      </c>
      <c r="F10" s="5" t="s">
        <v>14</v>
      </c>
      <c r="I10" s="4" t="s">
        <v>140</v>
      </c>
      <c r="J10" s="5">
        <v>39</v>
      </c>
      <c r="K10" s="4" t="s">
        <v>40</v>
      </c>
      <c r="M10" t="s">
        <v>260</v>
      </c>
      <c r="N10" s="3">
        <v>19</v>
      </c>
      <c r="O10" t="s">
        <v>26</v>
      </c>
      <c r="Q10" t="s">
        <v>136</v>
      </c>
      <c r="R10">
        <v>25</v>
      </c>
      <c r="S10" t="s">
        <v>49</v>
      </c>
      <c r="U10" s="97" t="s">
        <v>0</v>
      </c>
      <c r="V10" s="98" t="s">
        <v>1084</v>
      </c>
      <c r="W10" s="99" t="s">
        <v>1179</v>
      </c>
    </row>
    <row r="11" spans="2:23" hidden="1">
      <c r="B11" s="4" t="s">
        <v>10</v>
      </c>
      <c r="C11" s="5">
        <f>IF(B11&lt;&gt;"",VLOOKUP(B11,Projetos!E:F,2,0),"")</f>
        <v>2</v>
      </c>
      <c r="D11" s="4" t="s">
        <v>31</v>
      </c>
      <c r="E11" s="20">
        <v>104</v>
      </c>
      <c r="F11" s="5" t="s">
        <v>14</v>
      </c>
      <c r="I11" s="4" t="s">
        <v>140</v>
      </c>
      <c r="J11" s="5">
        <v>39</v>
      </c>
      <c r="K11" s="4" t="s">
        <v>23</v>
      </c>
      <c r="M11" t="s">
        <v>260</v>
      </c>
      <c r="N11" s="3">
        <v>19</v>
      </c>
      <c r="O11" t="s">
        <v>31</v>
      </c>
      <c r="Q11" t="s">
        <v>136</v>
      </c>
      <c r="R11">
        <v>25</v>
      </c>
      <c r="S11" t="s">
        <v>26</v>
      </c>
      <c r="U11" t="s">
        <v>195</v>
      </c>
      <c r="V11" s="3">
        <v>33</v>
      </c>
      <c r="W11" t="s">
        <v>49</v>
      </c>
    </row>
    <row r="12" spans="2:23" hidden="1">
      <c r="B12" s="4" t="s">
        <v>10</v>
      </c>
      <c r="C12" s="5">
        <f>IF(B12&lt;&gt;"",VLOOKUP(B12,Projetos!E:F,2,0),"")</f>
        <v>2</v>
      </c>
      <c r="D12" s="4" t="s">
        <v>40</v>
      </c>
      <c r="E12" s="20">
        <v>232</v>
      </c>
      <c r="F12" s="5" t="s">
        <v>14</v>
      </c>
      <c r="I12" s="24" t="s">
        <v>140</v>
      </c>
      <c r="J12" s="44">
        <v>39</v>
      </c>
      <c r="K12" s="24" t="s">
        <v>25</v>
      </c>
      <c r="M12" t="s">
        <v>260</v>
      </c>
      <c r="N12" s="3">
        <v>19</v>
      </c>
      <c r="O12" t="s">
        <v>40</v>
      </c>
      <c r="Q12" t="s">
        <v>136</v>
      </c>
      <c r="R12">
        <v>25</v>
      </c>
      <c r="S12" t="s">
        <v>31</v>
      </c>
      <c r="U12" t="s">
        <v>195</v>
      </c>
      <c r="V12" s="3">
        <v>33</v>
      </c>
      <c r="W12" t="s">
        <v>119</v>
      </c>
    </row>
    <row r="13" spans="2:23" hidden="1">
      <c r="B13" s="4" t="s">
        <v>10</v>
      </c>
      <c r="C13" s="5">
        <f>IF(B13&lt;&gt;"",VLOOKUP(B13,Projetos!E:F,2,0),"")</f>
        <v>2</v>
      </c>
      <c r="D13" s="4" t="s">
        <v>25</v>
      </c>
      <c r="E13" s="20">
        <v>6</v>
      </c>
      <c r="F13" s="5" t="s">
        <v>14</v>
      </c>
      <c r="M13" t="s">
        <v>260</v>
      </c>
      <c r="N13" s="3">
        <v>19</v>
      </c>
      <c r="O13" t="s">
        <v>49</v>
      </c>
    </row>
    <row r="14" spans="2:23" hidden="1">
      <c r="B14" s="4" t="s">
        <v>156</v>
      </c>
      <c r="C14" s="5">
        <f>IF(B14&lt;&gt;"",VLOOKUP(B14,Projetos!E:F,2,0),"")</f>
        <v>3</v>
      </c>
      <c r="D14" s="4" t="s">
        <v>16</v>
      </c>
      <c r="E14" s="20">
        <v>96</v>
      </c>
      <c r="F14" s="5" t="s">
        <v>900</v>
      </c>
      <c r="Q14" s="97" t="s">
        <v>0</v>
      </c>
      <c r="R14" s="98" t="s">
        <v>1084</v>
      </c>
      <c r="S14" s="99" t="s">
        <v>1179</v>
      </c>
      <c r="U14" s="97" t="s">
        <v>0</v>
      </c>
      <c r="V14" s="98" t="s">
        <v>1084</v>
      </c>
      <c r="W14" s="99" t="s">
        <v>1179</v>
      </c>
    </row>
    <row r="15" spans="2:23" hidden="1">
      <c r="B15" s="4" t="s">
        <v>156</v>
      </c>
      <c r="C15" s="5">
        <f>IF(B15&lt;&gt;"",VLOOKUP(B15,Projetos!E:F,2,0),"")</f>
        <v>3</v>
      </c>
      <c r="D15" s="4" t="s">
        <v>158</v>
      </c>
      <c r="E15" s="20">
        <v>96</v>
      </c>
      <c r="F15" s="5" t="s">
        <v>900</v>
      </c>
      <c r="I15" s="85" t="s">
        <v>0</v>
      </c>
      <c r="J15" s="84" t="s">
        <v>1084</v>
      </c>
      <c r="K15" s="86" t="s">
        <v>1179</v>
      </c>
      <c r="M15" s="97" t="s">
        <v>0</v>
      </c>
      <c r="N15" s="98" t="s">
        <v>1084</v>
      </c>
      <c r="O15" s="99" t="s">
        <v>1179</v>
      </c>
      <c r="Q15" t="s">
        <v>146</v>
      </c>
      <c r="R15" s="100">
        <v>27</v>
      </c>
      <c r="S15" t="s">
        <v>11</v>
      </c>
      <c r="U15" t="s">
        <v>287</v>
      </c>
      <c r="V15" s="3">
        <v>36</v>
      </c>
      <c r="W15" t="s">
        <v>11</v>
      </c>
    </row>
    <row r="16" spans="2:23" hidden="1">
      <c r="B16" s="4" t="s">
        <v>156</v>
      </c>
      <c r="C16" s="5">
        <f>IF(B16&lt;&gt;"",VLOOKUP(B16,Projetos!E:F,2,0),"")</f>
        <v>3</v>
      </c>
      <c r="D16" s="4" t="s">
        <v>247</v>
      </c>
      <c r="E16" s="20">
        <v>96</v>
      </c>
      <c r="F16" s="5" t="s">
        <v>900</v>
      </c>
      <c r="I16" s="88" t="s">
        <v>156</v>
      </c>
      <c r="J16" s="89">
        <v>3</v>
      </c>
      <c r="K16" s="90" t="s">
        <v>16</v>
      </c>
      <c r="M16" t="s">
        <v>118</v>
      </c>
      <c r="N16" s="100">
        <v>21</v>
      </c>
      <c r="O16" t="s">
        <v>119</v>
      </c>
      <c r="Q16" t="s">
        <v>146</v>
      </c>
      <c r="R16" s="100">
        <v>27</v>
      </c>
      <c r="S16" t="s">
        <v>65</v>
      </c>
      <c r="U16" t="s">
        <v>287</v>
      </c>
      <c r="V16" s="3">
        <v>36</v>
      </c>
      <c r="W16" t="s">
        <v>288</v>
      </c>
    </row>
    <row r="17" spans="2:23" hidden="1">
      <c r="B17" s="4" t="s">
        <v>156</v>
      </c>
      <c r="C17" s="5">
        <f>IF(B17&lt;&gt;"",VLOOKUP(B17,Projetos!E:F,2,0),"")</f>
        <v>3</v>
      </c>
      <c r="D17" s="4" t="s">
        <v>23</v>
      </c>
      <c r="E17" s="20">
        <v>96</v>
      </c>
      <c r="F17" s="5" t="s">
        <v>900</v>
      </c>
      <c r="I17" s="88" t="s">
        <v>156</v>
      </c>
      <c r="J17" s="89">
        <v>3</v>
      </c>
      <c r="K17" s="90" t="s">
        <v>158</v>
      </c>
      <c r="M17" t="s">
        <v>118</v>
      </c>
      <c r="N17" s="100">
        <v>21</v>
      </c>
      <c r="O17" t="s">
        <v>26</v>
      </c>
      <c r="Q17" t="s">
        <v>146</v>
      </c>
      <c r="R17" s="100">
        <v>27</v>
      </c>
      <c r="S17" t="s">
        <v>31</v>
      </c>
      <c r="U17" t="s">
        <v>287</v>
      </c>
      <c r="V17" s="3">
        <v>36</v>
      </c>
      <c r="W17" t="s">
        <v>16</v>
      </c>
    </row>
    <row r="18" spans="2:23" hidden="1">
      <c r="B18" s="4" t="s">
        <v>156</v>
      </c>
      <c r="C18" s="5">
        <f>IF(B18&lt;&gt;"",VLOOKUP(B18,Projetos!E:F,2,0),"")</f>
        <v>3</v>
      </c>
      <c r="D18" s="4" t="s">
        <v>49</v>
      </c>
      <c r="E18" s="20">
        <v>96</v>
      </c>
      <c r="F18" s="5" t="s">
        <v>900</v>
      </c>
      <c r="I18" s="88" t="s">
        <v>156</v>
      </c>
      <c r="J18" s="89">
        <v>3</v>
      </c>
      <c r="K18" s="90" t="s">
        <v>247</v>
      </c>
      <c r="Q18" t="s">
        <v>146</v>
      </c>
      <c r="R18" s="100">
        <v>27</v>
      </c>
      <c r="S18" t="s">
        <v>23</v>
      </c>
      <c r="U18" t="s">
        <v>287</v>
      </c>
      <c r="V18" s="3">
        <v>36</v>
      </c>
      <c r="W18" t="s">
        <v>316</v>
      </c>
    </row>
    <row r="19" spans="2:23" hidden="1">
      <c r="B19" s="4" t="s">
        <v>63</v>
      </c>
      <c r="C19" s="5">
        <f>IF(B19&lt;&gt;"",VLOOKUP(B19,Projetos!E:F,2,0),"")</f>
        <v>4</v>
      </c>
      <c r="D19" s="4" t="s">
        <v>16</v>
      </c>
      <c r="E19" s="20">
        <v>1</v>
      </c>
      <c r="F19" s="5" t="s">
        <v>14</v>
      </c>
      <c r="I19" s="88" t="s">
        <v>156</v>
      </c>
      <c r="J19" s="89">
        <v>3</v>
      </c>
      <c r="K19" s="90" t="s">
        <v>23</v>
      </c>
      <c r="M19" s="97" t="s">
        <v>0</v>
      </c>
      <c r="N19" s="98" t="s">
        <v>1084</v>
      </c>
      <c r="O19" s="99" t="s">
        <v>1179</v>
      </c>
      <c r="Q19" t="s">
        <v>146</v>
      </c>
      <c r="R19" s="100">
        <v>27</v>
      </c>
      <c r="S19" t="s">
        <v>49</v>
      </c>
      <c r="U19" t="s">
        <v>287</v>
      </c>
      <c r="V19" s="3">
        <v>36</v>
      </c>
      <c r="W19" t="s">
        <v>288</v>
      </c>
    </row>
    <row r="20" spans="2:23" hidden="1">
      <c r="B20" s="4" t="s">
        <v>63</v>
      </c>
      <c r="C20" s="5">
        <f>IF(B20&lt;&gt;"",VLOOKUP(B20,Projetos!E:F,2,0),"")</f>
        <v>4</v>
      </c>
      <c r="D20" s="4" t="s">
        <v>26</v>
      </c>
      <c r="E20" s="20">
        <v>2</v>
      </c>
      <c r="F20" s="5" t="s">
        <v>14</v>
      </c>
      <c r="I20" s="91" t="s">
        <v>156</v>
      </c>
      <c r="J20" s="92">
        <v>3</v>
      </c>
      <c r="K20" s="93" t="s">
        <v>49</v>
      </c>
      <c r="M20" t="s">
        <v>128</v>
      </c>
      <c r="N20" s="100">
        <v>23</v>
      </c>
      <c r="O20" t="s">
        <v>16</v>
      </c>
    </row>
    <row r="21" spans="2:23" hidden="1">
      <c r="B21" s="4" t="s">
        <v>63</v>
      </c>
      <c r="C21" s="5">
        <f>IF(B21&lt;&gt;"",VLOOKUP(B21,Projetos!E:F,2,0),"")</f>
        <v>4</v>
      </c>
      <c r="D21" s="4" t="s">
        <v>31</v>
      </c>
      <c r="E21" s="20">
        <v>3</v>
      </c>
      <c r="F21" s="5" t="s">
        <v>14</v>
      </c>
      <c r="M21" t="s">
        <v>128</v>
      </c>
      <c r="N21" s="100">
        <v>23</v>
      </c>
      <c r="O21" t="s">
        <v>21</v>
      </c>
      <c r="U21" s="97" t="s">
        <v>0</v>
      </c>
      <c r="V21" s="98" t="s">
        <v>1084</v>
      </c>
      <c r="W21" s="99" t="s">
        <v>1179</v>
      </c>
    </row>
    <row r="22" spans="2:23" hidden="1">
      <c r="B22" s="4" t="s">
        <v>63</v>
      </c>
      <c r="C22" s="5">
        <f>IF(B22&lt;&gt;"",VLOOKUP(B22,Projetos!E:F,2,0),"")</f>
        <v>4</v>
      </c>
      <c r="D22" s="4" t="s">
        <v>25</v>
      </c>
      <c r="E22" s="20">
        <v>2</v>
      </c>
      <c r="F22" s="5" t="s">
        <v>14</v>
      </c>
      <c r="M22" t="s">
        <v>128</v>
      </c>
      <c r="N22" s="100">
        <v>23</v>
      </c>
      <c r="O22" t="s">
        <v>31</v>
      </c>
      <c r="Q22" s="101" t="s">
        <v>0</v>
      </c>
      <c r="R22" s="2" t="s">
        <v>1084</v>
      </c>
      <c r="S22" s="102" t="s">
        <v>1179</v>
      </c>
      <c r="U22" t="s">
        <v>1126</v>
      </c>
      <c r="V22" s="100">
        <v>37</v>
      </c>
      <c r="W22" t="s">
        <v>11</v>
      </c>
    </row>
    <row r="23" spans="2:23" hidden="1">
      <c r="B23" s="4" t="s">
        <v>43</v>
      </c>
      <c r="C23" s="5">
        <f>IF(B23&lt;&gt;"",VLOOKUP(B23,Projetos!E:F,2,0),"")</f>
        <v>5</v>
      </c>
      <c r="D23" s="4" t="s">
        <v>16</v>
      </c>
      <c r="E23" s="20">
        <v>1</v>
      </c>
      <c r="F23" s="5" t="s">
        <v>14</v>
      </c>
      <c r="I23" s="84" t="s">
        <v>0</v>
      </c>
      <c r="J23" s="84" t="s">
        <v>1084</v>
      </c>
      <c r="K23" s="84" t="s">
        <v>1179</v>
      </c>
      <c r="M23" t="s">
        <v>128</v>
      </c>
      <c r="N23" s="100">
        <v>23</v>
      </c>
      <c r="O23" t="s">
        <v>40</v>
      </c>
      <c r="Q23" s="22" t="s">
        <v>138</v>
      </c>
      <c r="R23" s="22">
        <v>30</v>
      </c>
      <c r="S23" s="22" t="s">
        <v>16</v>
      </c>
      <c r="U23" t="s">
        <v>1126</v>
      </c>
      <c r="V23" s="100">
        <v>37</v>
      </c>
      <c r="W23" t="s">
        <v>288</v>
      </c>
    </row>
    <row r="24" spans="2:23" hidden="1">
      <c r="B24" s="4" t="s">
        <v>43</v>
      </c>
      <c r="C24" s="5">
        <f>IF(B24&lt;&gt;"",VLOOKUP(B24,Projetos!E:F,2,0),"")</f>
        <v>5</v>
      </c>
      <c r="D24" s="4" t="s">
        <v>26</v>
      </c>
      <c r="E24" s="20">
        <v>1</v>
      </c>
      <c r="F24" s="5" t="s">
        <v>14</v>
      </c>
      <c r="I24" s="4" t="s">
        <v>488</v>
      </c>
      <c r="J24" s="5">
        <v>50</v>
      </c>
      <c r="K24" s="4" t="s">
        <v>16</v>
      </c>
      <c r="M24" t="s">
        <v>128</v>
      </c>
      <c r="N24" s="100">
        <v>23</v>
      </c>
      <c r="O24" t="s">
        <v>49</v>
      </c>
      <c r="Q24" s="22" t="s">
        <v>138</v>
      </c>
      <c r="R24" s="22">
        <v>30</v>
      </c>
      <c r="S24" s="22" t="s">
        <v>21</v>
      </c>
      <c r="U24" t="s">
        <v>1126</v>
      </c>
      <c r="V24" s="100">
        <v>37</v>
      </c>
      <c r="W24" t="s">
        <v>16</v>
      </c>
    </row>
    <row r="25" spans="2:23" hidden="1">
      <c r="B25" s="4" t="s">
        <v>43</v>
      </c>
      <c r="C25" s="5">
        <f>IF(B25&lt;&gt;"",VLOOKUP(B25,Projetos!E:F,2,0),"")</f>
        <v>5</v>
      </c>
      <c r="D25" s="4" t="s">
        <v>31</v>
      </c>
      <c r="E25" s="20">
        <v>3</v>
      </c>
      <c r="F25" s="5" t="s">
        <v>14</v>
      </c>
      <c r="I25" s="4" t="s">
        <v>488</v>
      </c>
      <c r="J25" s="5">
        <v>50</v>
      </c>
      <c r="K25" s="4" t="s">
        <v>65</v>
      </c>
      <c r="Q25" s="22" t="s">
        <v>138</v>
      </c>
      <c r="R25" s="22">
        <v>30</v>
      </c>
      <c r="S25" s="22" t="s">
        <v>153</v>
      </c>
      <c r="U25" t="s">
        <v>1126</v>
      </c>
      <c r="V25" s="100">
        <v>37</v>
      </c>
      <c r="W25" t="s">
        <v>316</v>
      </c>
    </row>
    <row r="26" spans="2:23" hidden="1">
      <c r="B26" s="4" t="s">
        <v>43</v>
      </c>
      <c r="C26" s="5">
        <f>IF(B26&lt;&gt;"",VLOOKUP(B26,Projetos!E:F,2,0),"")</f>
        <v>5</v>
      </c>
      <c r="D26" s="4" t="s">
        <v>25</v>
      </c>
      <c r="E26" s="20">
        <v>1</v>
      </c>
      <c r="F26" s="5" t="s">
        <v>14</v>
      </c>
      <c r="I26" s="4" t="s">
        <v>488</v>
      </c>
      <c r="J26" s="5">
        <v>50</v>
      </c>
      <c r="K26" s="4" t="s">
        <v>26</v>
      </c>
      <c r="Q26" s="26" t="s">
        <v>138</v>
      </c>
      <c r="R26" s="26">
        <v>30</v>
      </c>
      <c r="S26" s="26" t="s">
        <v>26</v>
      </c>
      <c r="U26" t="s">
        <v>1126</v>
      </c>
      <c r="V26" s="100">
        <v>37</v>
      </c>
      <c r="W26" s="103" t="s">
        <v>49</v>
      </c>
    </row>
    <row r="27" spans="2:23" hidden="1">
      <c r="B27" s="4" t="s">
        <v>56</v>
      </c>
      <c r="C27" s="5">
        <f>IF(B27&lt;&gt;"",VLOOKUP(B27,Projetos!E:F,2,0),"")</f>
        <v>6</v>
      </c>
      <c r="D27" s="4" t="s">
        <v>16</v>
      </c>
      <c r="E27" s="20">
        <v>1</v>
      </c>
      <c r="F27" s="5" t="s">
        <v>14</v>
      </c>
      <c r="I27" s="4" t="s">
        <v>488</v>
      </c>
      <c r="J27" s="5">
        <v>50</v>
      </c>
      <c r="K27" s="4" t="s">
        <v>31</v>
      </c>
    </row>
    <row r="28" spans="2:23" hidden="1">
      <c r="B28" s="4" t="s">
        <v>56</v>
      </c>
      <c r="C28" s="5">
        <f>IF(B28&lt;&gt;"",VLOOKUP(B28,Projetos!E:F,2,0),"")</f>
        <v>6</v>
      </c>
      <c r="D28" s="4" t="s">
        <v>26</v>
      </c>
      <c r="E28" s="20">
        <v>3</v>
      </c>
      <c r="F28" s="5" t="s">
        <v>14</v>
      </c>
      <c r="I28" s="4" t="s">
        <v>488</v>
      </c>
      <c r="J28" s="5">
        <v>50</v>
      </c>
      <c r="K28" s="4" t="s">
        <v>40</v>
      </c>
    </row>
    <row r="29" spans="2:23" hidden="1">
      <c r="B29" s="4" t="s">
        <v>56</v>
      </c>
      <c r="C29" s="5">
        <f>IF(B29&lt;&gt;"",VLOOKUP(B29,Projetos!E:F,2,0),"")</f>
        <v>6</v>
      </c>
      <c r="D29" s="4" t="s">
        <v>31</v>
      </c>
      <c r="E29" s="20">
        <v>5</v>
      </c>
      <c r="F29" s="5" t="s">
        <v>14</v>
      </c>
      <c r="I29" s="4" t="s">
        <v>488</v>
      </c>
      <c r="J29" s="5">
        <v>50</v>
      </c>
      <c r="K29" s="4" t="s">
        <v>153</v>
      </c>
    </row>
    <row r="30" spans="2:23" hidden="1">
      <c r="B30" s="4" t="s">
        <v>56</v>
      </c>
      <c r="C30" s="5">
        <f>IF(B30&lt;&gt;"",VLOOKUP(B30,Projetos!E:F,2,0),"")</f>
        <v>6</v>
      </c>
      <c r="D30" s="4" t="s">
        <v>49</v>
      </c>
      <c r="E30" s="20">
        <v>2</v>
      </c>
      <c r="F30" s="5" t="s">
        <v>14</v>
      </c>
      <c r="I30" s="4" t="s">
        <v>488</v>
      </c>
      <c r="J30" s="5">
        <v>50</v>
      </c>
      <c r="K30" s="4" t="s">
        <v>49</v>
      </c>
    </row>
    <row r="31" spans="2:23" hidden="1">
      <c r="B31" s="4" t="s">
        <v>47</v>
      </c>
      <c r="C31" s="5">
        <f>IF(B31&lt;&gt;"",VLOOKUP(B31,Projetos!E:F,2,0),"")</f>
        <v>7</v>
      </c>
      <c r="D31" s="4" t="s">
        <v>16</v>
      </c>
      <c r="E31" s="20">
        <v>1</v>
      </c>
      <c r="F31" s="5" t="s">
        <v>14</v>
      </c>
      <c r="I31" s="24" t="s">
        <v>488</v>
      </c>
      <c r="J31" s="44">
        <v>50</v>
      </c>
      <c r="K31" s="24" t="s">
        <v>691</v>
      </c>
    </row>
    <row r="32" spans="2:23" hidden="1">
      <c r="B32" s="4" t="s">
        <v>47</v>
      </c>
      <c r="C32" s="5">
        <f>IF(B32&lt;&gt;"",VLOOKUP(B32,Projetos!E:F,2,0),"")</f>
        <v>7</v>
      </c>
      <c r="D32" s="4" t="s">
        <v>26</v>
      </c>
      <c r="E32" s="20">
        <v>2</v>
      </c>
      <c r="F32" s="5" t="s">
        <v>14</v>
      </c>
    </row>
    <row r="33" spans="2:6" hidden="1">
      <c r="B33" s="4" t="s">
        <v>47</v>
      </c>
      <c r="C33" s="5">
        <f>IF(B33&lt;&gt;"",VLOOKUP(B33,Projetos!E:F,2,0),"")</f>
        <v>7</v>
      </c>
      <c r="D33" s="4" t="s">
        <v>31</v>
      </c>
      <c r="E33" s="20">
        <v>1</v>
      </c>
      <c r="F33" s="5" t="s">
        <v>14</v>
      </c>
    </row>
    <row r="34" spans="2:6" hidden="1">
      <c r="B34" s="4" t="s">
        <v>47</v>
      </c>
      <c r="C34" s="5">
        <f>IF(B34&lt;&gt;"",VLOOKUP(B34,Projetos!E:F,2,0),"")</f>
        <v>7</v>
      </c>
      <c r="D34" s="4" t="s">
        <v>25</v>
      </c>
      <c r="E34" s="20">
        <v>1</v>
      </c>
      <c r="F34" s="5" t="s">
        <v>14</v>
      </c>
    </row>
    <row r="35" spans="2:6" hidden="1">
      <c r="B35" s="4" t="s">
        <v>60</v>
      </c>
      <c r="C35" s="5">
        <f>IF(B35&lt;&gt;"",VLOOKUP(B35,Projetos!E:F,2,0),"")</f>
        <v>8</v>
      </c>
      <c r="D35" s="4" t="s">
        <v>16</v>
      </c>
      <c r="E35" s="20">
        <v>1</v>
      </c>
      <c r="F35" s="5" t="s">
        <v>14</v>
      </c>
    </row>
    <row r="36" spans="2:6" hidden="1">
      <c r="B36" s="4" t="s">
        <v>60</v>
      </c>
      <c r="C36" s="5">
        <f>IF(B36&lt;&gt;"",VLOOKUP(B36,Projetos!E:F,2,0),"")</f>
        <v>8</v>
      </c>
      <c r="D36" s="4" t="s">
        <v>26</v>
      </c>
      <c r="E36" s="20">
        <v>2</v>
      </c>
      <c r="F36" s="5" t="s">
        <v>14</v>
      </c>
    </row>
    <row r="37" spans="2:6" hidden="1">
      <c r="B37" s="4" t="s">
        <v>60</v>
      </c>
      <c r="C37" s="5">
        <f>IF(B37&lt;&gt;"",VLOOKUP(B37,Projetos!E:F,2,0),"")</f>
        <v>8</v>
      </c>
      <c r="D37" s="4" t="s">
        <v>31</v>
      </c>
      <c r="E37" s="20">
        <v>1</v>
      </c>
      <c r="F37" s="5" t="s">
        <v>14</v>
      </c>
    </row>
    <row r="38" spans="2:6" hidden="1">
      <c r="B38" s="4" t="s">
        <v>60</v>
      </c>
      <c r="C38" s="5">
        <f>IF(B38&lt;&gt;"",VLOOKUP(B38,Projetos!E:F,2,0),"")</f>
        <v>8</v>
      </c>
      <c r="D38" s="4" t="s">
        <v>25</v>
      </c>
      <c r="E38" s="20">
        <v>1</v>
      </c>
      <c r="F38" s="5" t="s">
        <v>14</v>
      </c>
    </row>
    <row r="39" spans="2:6" hidden="1">
      <c r="B39" s="4" t="s">
        <v>35</v>
      </c>
      <c r="C39" s="5">
        <f>IF(B39&lt;&gt;"",VLOOKUP(B39,Projetos!E:F,2,0),"")</f>
        <v>9</v>
      </c>
      <c r="D39" s="4" t="s">
        <v>16</v>
      </c>
      <c r="E39" s="20">
        <v>2</v>
      </c>
      <c r="F39" s="5" t="s">
        <v>14</v>
      </c>
    </row>
    <row r="40" spans="2:6" hidden="1">
      <c r="B40" s="4" t="s">
        <v>35</v>
      </c>
      <c r="C40" s="5">
        <f>IF(B40&lt;&gt;"",VLOOKUP(B40,Projetos!E:F,2,0),"")</f>
        <v>9</v>
      </c>
      <c r="D40" s="4" t="s">
        <v>21</v>
      </c>
      <c r="E40" s="20">
        <v>5</v>
      </c>
      <c r="F40" s="5" t="s">
        <v>14</v>
      </c>
    </row>
    <row r="41" spans="2:6" hidden="1">
      <c r="B41" s="4" t="s">
        <v>35</v>
      </c>
      <c r="C41" s="5">
        <f>IF(B41&lt;&gt;"",VLOOKUP(B41,Projetos!E:F,2,0),"")</f>
        <v>9</v>
      </c>
      <c r="D41" s="4" t="s">
        <v>23</v>
      </c>
      <c r="E41" s="20">
        <v>24</v>
      </c>
      <c r="F41" s="5" t="s">
        <v>14</v>
      </c>
    </row>
    <row r="42" spans="2:6" hidden="1">
      <c r="B42" s="4" t="s">
        <v>35</v>
      </c>
      <c r="C42" s="5">
        <f>IF(B42&lt;&gt;"",VLOOKUP(B42,Projetos!E:F,2,0),"")</f>
        <v>9</v>
      </c>
      <c r="D42" s="4" t="s">
        <v>25</v>
      </c>
      <c r="E42" s="20">
        <v>2</v>
      </c>
      <c r="F42" s="5" t="s">
        <v>14</v>
      </c>
    </row>
    <row r="43" spans="2:6" hidden="1">
      <c r="B43" s="4" t="s">
        <v>35</v>
      </c>
      <c r="C43" s="5">
        <f>IF(B43&lt;&gt;"",VLOOKUP(B43,Projetos!E:F,2,0),"")</f>
        <v>9</v>
      </c>
      <c r="D43" s="4" t="s">
        <v>49</v>
      </c>
      <c r="E43" s="20">
        <v>4</v>
      </c>
      <c r="F43" s="5" t="s">
        <v>14</v>
      </c>
    </row>
    <row r="44" spans="2:6" hidden="1">
      <c r="B44" s="4" t="s">
        <v>15</v>
      </c>
      <c r="C44" s="5">
        <f>IF(B44&lt;&gt;"",VLOOKUP(B44,Projetos!E:F,2,0),"")</f>
        <v>10</v>
      </c>
      <c r="D44" s="4" t="s">
        <v>16</v>
      </c>
      <c r="E44" s="20">
        <v>8</v>
      </c>
      <c r="F44" s="5" t="s">
        <v>14</v>
      </c>
    </row>
    <row r="45" spans="2:6" hidden="1">
      <c r="B45" s="4" t="s">
        <v>15</v>
      </c>
      <c r="C45" s="5">
        <f>IF(B45&lt;&gt;"",VLOOKUP(B45,Projetos!E:F,2,0),"")</f>
        <v>10</v>
      </c>
      <c r="D45" s="4" t="s">
        <v>26</v>
      </c>
      <c r="E45" s="20">
        <v>90</v>
      </c>
      <c r="F45" s="5" t="s">
        <v>14</v>
      </c>
    </row>
    <row r="46" spans="2:6" hidden="1">
      <c r="B46" s="4" t="s">
        <v>15</v>
      </c>
      <c r="C46" s="5">
        <f>IF(B46&lt;&gt;"",VLOOKUP(B46,Projetos!E:F,2,0),"")</f>
        <v>10</v>
      </c>
      <c r="D46" s="4" t="s">
        <v>31</v>
      </c>
      <c r="E46" s="20">
        <v>38</v>
      </c>
      <c r="F46" s="5" t="s">
        <v>14</v>
      </c>
    </row>
    <row r="47" spans="2:6" hidden="1">
      <c r="B47" s="4" t="s">
        <v>15</v>
      </c>
      <c r="C47" s="5">
        <f>IF(B47&lt;&gt;"",VLOOKUP(B47,Projetos!E:F,2,0),"")</f>
        <v>10</v>
      </c>
      <c r="D47" s="4" t="s">
        <v>23</v>
      </c>
      <c r="E47" s="20">
        <v>306</v>
      </c>
      <c r="F47" s="5" t="s">
        <v>14</v>
      </c>
    </row>
    <row r="48" spans="2:6" hidden="1">
      <c r="B48" s="4" t="s">
        <v>15</v>
      </c>
      <c r="C48" s="5">
        <f>IF(B48&lt;&gt;"",VLOOKUP(B48,Projetos!E:F,2,0),"")</f>
        <v>10</v>
      </c>
      <c r="D48" s="4" t="s">
        <v>25</v>
      </c>
      <c r="E48" s="20">
        <v>94</v>
      </c>
      <c r="F48" s="5" t="s">
        <v>14</v>
      </c>
    </row>
    <row r="49" spans="2:6" hidden="1">
      <c r="B49" s="4" t="s">
        <v>15</v>
      </c>
      <c r="C49" s="5">
        <f>IF(B49&lt;&gt;"",VLOOKUP(B49,Projetos!E:F,2,0),"")</f>
        <v>10</v>
      </c>
      <c r="D49" s="4" t="s">
        <v>49</v>
      </c>
      <c r="E49" s="20">
        <v>60</v>
      </c>
      <c r="F49" s="5" t="s">
        <v>14</v>
      </c>
    </row>
    <row r="50" spans="2:6" hidden="1">
      <c r="B50" s="4" t="s">
        <v>61</v>
      </c>
      <c r="C50" s="5">
        <f>IF(B50&lt;&gt;"",VLOOKUP(B50,Projetos!E:F,2,0),"")</f>
        <v>11</v>
      </c>
      <c r="D50" s="4" t="s">
        <v>16</v>
      </c>
      <c r="E50" s="20">
        <v>9</v>
      </c>
      <c r="F50" s="5" t="s">
        <v>900</v>
      </c>
    </row>
    <row r="51" spans="2:6" hidden="1">
      <c r="B51" s="4" t="s">
        <v>61</v>
      </c>
      <c r="C51" s="5">
        <f>IF(B51&lt;&gt;"",VLOOKUP(B51,Projetos!E:F,2,0),"")</f>
        <v>11</v>
      </c>
      <c r="D51" s="4" t="s">
        <v>21</v>
      </c>
      <c r="E51" s="20">
        <v>50</v>
      </c>
      <c r="F51" s="5" t="s">
        <v>900</v>
      </c>
    </row>
    <row r="52" spans="2:6" hidden="1">
      <c r="B52" s="4" t="s">
        <v>61</v>
      </c>
      <c r="C52" s="5">
        <f>IF(B52&lt;&gt;"",VLOOKUP(B52,Projetos!E:F,2,0),"")</f>
        <v>11</v>
      </c>
      <c r="D52" s="4" t="s">
        <v>65</v>
      </c>
      <c r="E52" s="20">
        <v>60</v>
      </c>
      <c r="F52" s="5" t="s">
        <v>900</v>
      </c>
    </row>
    <row r="53" spans="2:6" hidden="1">
      <c r="B53" s="4" t="s">
        <v>61</v>
      </c>
      <c r="C53" s="5">
        <f>IF(B53&lt;&gt;"",VLOOKUP(B53,Projetos!E:F,2,0),"")</f>
        <v>11</v>
      </c>
      <c r="D53" s="4" t="s">
        <v>25</v>
      </c>
      <c r="E53" s="20">
        <v>4</v>
      </c>
      <c r="F53" s="5" t="s">
        <v>900</v>
      </c>
    </row>
    <row r="54" spans="2:6" hidden="1">
      <c r="B54" s="4" t="s">
        <v>61</v>
      </c>
      <c r="C54" s="5">
        <f>IF(B54&lt;&gt;"",VLOOKUP(B54,Projetos!E:F,2,0),"")</f>
        <v>11</v>
      </c>
      <c r="D54" s="4" t="s">
        <v>26</v>
      </c>
      <c r="E54" s="20">
        <v>30</v>
      </c>
      <c r="F54" s="5" t="s">
        <v>900</v>
      </c>
    </row>
    <row r="55" spans="2:6" hidden="1">
      <c r="B55" s="4" t="s">
        <v>61</v>
      </c>
      <c r="C55" s="5">
        <f>IF(B55&lt;&gt;"",VLOOKUP(B55,Projetos!E:F,2,0),"")</f>
        <v>11</v>
      </c>
      <c r="D55" s="4" t="s">
        <v>31</v>
      </c>
      <c r="E55" s="20">
        <v>15</v>
      </c>
      <c r="F55" s="5" t="s">
        <v>900</v>
      </c>
    </row>
    <row r="56" spans="2:6" hidden="1">
      <c r="B56" s="4" t="s">
        <v>61</v>
      </c>
      <c r="C56" s="5">
        <f>IF(B56&lt;&gt;"",VLOOKUP(B56,Projetos!E:F,2,0),"")</f>
        <v>11</v>
      </c>
      <c r="D56" s="4" t="s">
        <v>40</v>
      </c>
      <c r="E56" s="20">
        <v>60</v>
      </c>
      <c r="F56" s="5" t="s">
        <v>900</v>
      </c>
    </row>
    <row r="57" spans="2:6" hidden="1">
      <c r="B57" s="4" t="s">
        <v>61</v>
      </c>
      <c r="C57" s="5">
        <f>IF(B57&lt;&gt;"",VLOOKUP(B57,Projetos!E:F,2,0),"")</f>
        <v>11</v>
      </c>
      <c r="D57" s="4" t="s">
        <v>23</v>
      </c>
      <c r="E57" s="20">
        <v>40</v>
      </c>
      <c r="F57" s="5" t="s">
        <v>900</v>
      </c>
    </row>
    <row r="58" spans="2:6" hidden="1">
      <c r="B58" s="4" t="s">
        <v>61</v>
      </c>
      <c r="C58" s="5">
        <f>IF(B58&lt;&gt;"",VLOOKUP(B58,Projetos!E:F,2,0),"")</f>
        <v>11</v>
      </c>
      <c r="D58" s="4" t="s">
        <v>49</v>
      </c>
      <c r="E58" s="20">
        <v>2</v>
      </c>
      <c r="F58" s="5" t="s">
        <v>900</v>
      </c>
    </row>
    <row r="59" spans="2:6" hidden="1">
      <c r="B59" s="4" t="s">
        <v>72</v>
      </c>
      <c r="C59" s="5">
        <f>IF(B59&lt;&gt;"",VLOOKUP(B59,Projetos!E:F,2,0),"")</f>
        <v>12</v>
      </c>
      <c r="D59" s="4" t="s">
        <v>16</v>
      </c>
      <c r="E59" s="20">
        <v>6</v>
      </c>
      <c r="F59" s="5" t="s">
        <v>14</v>
      </c>
    </row>
    <row r="60" spans="2:6" hidden="1">
      <c r="B60" s="4" t="s">
        <v>72</v>
      </c>
      <c r="C60" s="5">
        <f>IF(B60&lt;&gt;"",VLOOKUP(B60,Projetos!E:F,2,0),"")</f>
        <v>12</v>
      </c>
      <c r="D60" s="4" t="s">
        <v>11</v>
      </c>
      <c r="E60" s="20">
        <v>10</v>
      </c>
      <c r="F60" s="5" t="s">
        <v>14</v>
      </c>
    </row>
    <row r="61" spans="2:6" hidden="1">
      <c r="B61" s="4" t="s">
        <v>72</v>
      </c>
      <c r="C61" s="5">
        <f>IF(B61&lt;&gt;"",VLOOKUP(B61,Projetos!E:F,2,0),"")</f>
        <v>12</v>
      </c>
      <c r="D61" s="4" t="s">
        <v>65</v>
      </c>
      <c r="E61" s="20">
        <v>25</v>
      </c>
      <c r="F61" s="5" t="s">
        <v>14</v>
      </c>
    </row>
    <row r="62" spans="2:6" hidden="1">
      <c r="B62" s="4" t="s">
        <v>72</v>
      </c>
      <c r="C62" s="5">
        <f>IF(B62&lt;&gt;"",VLOOKUP(B62,Projetos!E:F,2,0),"")</f>
        <v>12</v>
      </c>
      <c r="D62" s="4" t="s">
        <v>26</v>
      </c>
      <c r="E62" s="20">
        <v>15</v>
      </c>
      <c r="F62" s="5" t="s">
        <v>14</v>
      </c>
    </row>
    <row r="63" spans="2:6" hidden="1">
      <c r="B63" s="4" t="s">
        <v>72</v>
      </c>
      <c r="C63" s="5">
        <f>IF(B63&lt;&gt;"",VLOOKUP(B63,Projetos!E:F,2,0),"")</f>
        <v>12</v>
      </c>
      <c r="D63" s="4" t="s">
        <v>31</v>
      </c>
      <c r="E63" s="20">
        <v>10</v>
      </c>
      <c r="F63" s="5" t="s">
        <v>14</v>
      </c>
    </row>
    <row r="64" spans="2:6" hidden="1">
      <c r="B64" s="4" t="s">
        <v>72</v>
      </c>
      <c r="C64" s="5">
        <f>IF(B64&lt;&gt;"",VLOOKUP(B64,Projetos!E:F,2,0),"")</f>
        <v>12</v>
      </c>
      <c r="D64" s="4" t="s">
        <v>23</v>
      </c>
      <c r="E64" s="20">
        <v>60</v>
      </c>
      <c r="F64" s="5" t="s">
        <v>14</v>
      </c>
    </row>
    <row r="65" spans="2:6" hidden="1">
      <c r="B65" s="4" t="s">
        <v>72</v>
      </c>
      <c r="C65" s="5">
        <f>IF(B65&lt;&gt;"",VLOOKUP(B65,Projetos!E:F,2,0),"")</f>
        <v>12</v>
      </c>
      <c r="D65" s="4" t="s">
        <v>25</v>
      </c>
      <c r="E65" s="20">
        <v>3</v>
      </c>
      <c r="F65" s="5" t="s">
        <v>14</v>
      </c>
    </row>
    <row r="66" spans="2:6" hidden="1">
      <c r="B66" s="4" t="s">
        <v>30</v>
      </c>
      <c r="C66" s="5">
        <f>IF(B66&lt;&gt;"",VLOOKUP(B66,Projetos!E:F,2,0),"")</f>
        <v>13</v>
      </c>
      <c r="D66" s="4" t="s">
        <v>16</v>
      </c>
      <c r="E66" s="20">
        <v>5</v>
      </c>
      <c r="F66" s="5" t="s">
        <v>14</v>
      </c>
    </row>
    <row r="67" spans="2:6" hidden="1">
      <c r="B67" s="4" t="s">
        <v>30</v>
      </c>
      <c r="C67" s="5">
        <f>IF(B67&lt;&gt;"",VLOOKUP(B67,Projetos!E:F,2,0),"")</f>
        <v>13</v>
      </c>
      <c r="D67" s="4" t="s">
        <v>23</v>
      </c>
      <c r="E67" s="20">
        <v>220</v>
      </c>
      <c r="F67" s="5" t="s">
        <v>14</v>
      </c>
    </row>
    <row r="68" spans="2:6" hidden="1">
      <c r="B68" s="4" t="s">
        <v>30</v>
      </c>
      <c r="C68" s="5">
        <f>IF(B68&lt;&gt;"",VLOOKUP(B68,Projetos!E:F,2,0),"")</f>
        <v>13</v>
      </c>
      <c r="D68" s="4" t="s">
        <v>31</v>
      </c>
      <c r="E68" s="20">
        <v>70</v>
      </c>
      <c r="F68" s="5" t="s">
        <v>14</v>
      </c>
    </row>
    <row r="69" spans="2:6" hidden="1">
      <c r="B69" s="4" t="s">
        <v>30</v>
      </c>
      <c r="C69" s="5">
        <f>IF(B69&lt;&gt;"",VLOOKUP(B69,Projetos!E:F,2,0),"")</f>
        <v>13</v>
      </c>
      <c r="D69" s="4" t="s">
        <v>25</v>
      </c>
      <c r="E69" s="20">
        <v>6</v>
      </c>
      <c r="F69" s="5" t="s">
        <v>14</v>
      </c>
    </row>
    <row r="70" spans="2:6" hidden="1">
      <c r="B70" s="4" t="s">
        <v>30</v>
      </c>
      <c r="C70" s="5">
        <f>IF(B70&lt;&gt;"",VLOOKUP(B70,Projetos!E:F,2,0),"")</f>
        <v>13</v>
      </c>
      <c r="D70" s="4" t="s">
        <v>49</v>
      </c>
      <c r="E70" s="20">
        <v>30</v>
      </c>
      <c r="F70" s="5" t="s">
        <v>14</v>
      </c>
    </row>
    <row r="71" spans="2:6" hidden="1">
      <c r="B71" s="4" t="s">
        <v>78</v>
      </c>
      <c r="C71" s="5">
        <f>IF(B71&lt;&gt;"",VLOOKUP(B71,Projetos!E:F,2,0),"")</f>
        <v>14</v>
      </c>
      <c r="D71" s="4" t="s">
        <v>16</v>
      </c>
      <c r="E71" s="20">
        <v>6</v>
      </c>
      <c r="F71" s="5" t="s">
        <v>14</v>
      </c>
    </row>
    <row r="72" spans="2:6" hidden="1">
      <c r="B72" s="4" t="s">
        <v>78</v>
      </c>
      <c r="C72" s="5">
        <f>IF(B72&lt;&gt;"",VLOOKUP(B72,Projetos!E:F,2,0),"")</f>
        <v>14</v>
      </c>
      <c r="D72" s="4" t="s">
        <v>21</v>
      </c>
      <c r="E72" s="20">
        <v>6</v>
      </c>
      <c r="F72" s="5" t="s">
        <v>14</v>
      </c>
    </row>
    <row r="73" spans="2:6" hidden="1">
      <c r="B73" s="4" t="s">
        <v>78</v>
      </c>
      <c r="C73" s="5">
        <f>IF(B73&lt;&gt;"",VLOOKUP(B73,Projetos!E:F,2,0),"")</f>
        <v>14</v>
      </c>
      <c r="D73" s="4" t="s">
        <v>65</v>
      </c>
      <c r="E73" s="20">
        <v>8</v>
      </c>
      <c r="F73" s="5" t="s">
        <v>14</v>
      </c>
    </row>
    <row r="74" spans="2:6" hidden="1">
      <c r="B74" s="4" t="s">
        <v>78</v>
      </c>
      <c r="C74" s="5">
        <f>IF(B74&lt;&gt;"",VLOOKUP(B74,Projetos!E:F,2,0),"")</f>
        <v>14</v>
      </c>
      <c r="D74" s="4" t="s">
        <v>26</v>
      </c>
      <c r="E74" s="20">
        <v>12</v>
      </c>
      <c r="F74" s="5" t="s">
        <v>14</v>
      </c>
    </row>
    <row r="75" spans="2:6" hidden="1">
      <c r="B75" s="4" t="s">
        <v>78</v>
      </c>
      <c r="C75" s="5">
        <f>IF(B75&lt;&gt;"",VLOOKUP(B75,Projetos!E:F,2,0),"")</f>
        <v>14</v>
      </c>
      <c r="D75" s="4" t="s">
        <v>31</v>
      </c>
      <c r="E75" s="20">
        <v>14</v>
      </c>
      <c r="F75" s="5" t="s">
        <v>14</v>
      </c>
    </row>
    <row r="76" spans="2:6" hidden="1">
      <c r="B76" s="4" t="s">
        <v>78</v>
      </c>
      <c r="C76" s="5">
        <f>IF(B76&lt;&gt;"",VLOOKUP(B76,Projetos!E:F,2,0),"")</f>
        <v>14</v>
      </c>
      <c r="D76" s="4" t="s">
        <v>23</v>
      </c>
      <c r="E76" s="20">
        <v>16</v>
      </c>
      <c r="F76" s="5" t="s">
        <v>14</v>
      </c>
    </row>
    <row r="77" spans="2:6" hidden="1">
      <c r="B77" s="4" t="s">
        <v>78</v>
      </c>
      <c r="C77" s="5">
        <f>IF(B77&lt;&gt;"",VLOOKUP(B77,Projetos!E:F,2,0),"")</f>
        <v>14</v>
      </c>
      <c r="D77" s="4" t="s">
        <v>40</v>
      </c>
      <c r="E77" s="20">
        <v>14</v>
      </c>
      <c r="F77" s="5" t="s">
        <v>14</v>
      </c>
    </row>
    <row r="78" spans="2:6" hidden="1">
      <c r="B78" s="4" t="s">
        <v>78</v>
      </c>
      <c r="C78" s="5">
        <f>IF(B78&lt;&gt;"",VLOOKUP(B78,Projetos!E:F,2,0),"")</f>
        <v>14</v>
      </c>
      <c r="D78" s="4" t="s">
        <v>25</v>
      </c>
      <c r="E78" s="20">
        <v>4</v>
      </c>
      <c r="F78" s="5" t="s">
        <v>14</v>
      </c>
    </row>
    <row r="79" spans="2:6" hidden="1">
      <c r="B79" s="4" t="s">
        <v>143</v>
      </c>
      <c r="C79" s="5">
        <f>IF(B79&lt;&gt;"",VLOOKUP(B79,Projetos!E:F,2,0),"")</f>
        <v>15</v>
      </c>
      <c r="D79" s="4" t="s">
        <v>16</v>
      </c>
      <c r="E79" s="20">
        <v>6</v>
      </c>
      <c r="F79" s="5" t="s">
        <v>14</v>
      </c>
    </row>
    <row r="80" spans="2:6" hidden="1">
      <c r="B80" s="4" t="s">
        <v>143</v>
      </c>
      <c r="C80" s="5">
        <f>IF(B80&lt;&gt;"",VLOOKUP(B80,Projetos!E:F,2,0),"")</f>
        <v>15</v>
      </c>
      <c r="D80" s="4" t="s">
        <v>21</v>
      </c>
      <c r="E80" s="20">
        <v>6</v>
      </c>
      <c r="F80" s="5" t="s">
        <v>14</v>
      </c>
    </row>
    <row r="81" spans="2:6" hidden="1">
      <c r="B81" s="4" t="s">
        <v>143</v>
      </c>
      <c r="C81" s="5">
        <f>IF(B81&lt;&gt;"",VLOOKUP(B81,Projetos!E:F,2,0),"")</f>
        <v>15</v>
      </c>
      <c r="D81" s="4" t="s">
        <v>26</v>
      </c>
      <c r="E81" s="20">
        <v>8</v>
      </c>
      <c r="F81" s="5" t="s">
        <v>14</v>
      </c>
    </row>
    <row r="82" spans="2:6" hidden="1">
      <c r="B82" s="4" t="s">
        <v>143</v>
      </c>
      <c r="C82" s="5">
        <f>IF(B82&lt;&gt;"",VLOOKUP(B82,Projetos!E:F,2,0),"")</f>
        <v>15</v>
      </c>
      <c r="D82" s="4" t="s">
        <v>31</v>
      </c>
      <c r="E82" s="20">
        <v>8</v>
      </c>
      <c r="F82" s="5" t="s">
        <v>14</v>
      </c>
    </row>
    <row r="83" spans="2:6" hidden="1">
      <c r="B83" s="4" t="s">
        <v>143</v>
      </c>
      <c r="C83" s="5">
        <f>IF(B83&lt;&gt;"",VLOOKUP(B83,Projetos!E:F,2,0),"")</f>
        <v>15</v>
      </c>
      <c r="D83" s="4" t="s">
        <v>23</v>
      </c>
      <c r="E83" s="20">
        <v>16</v>
      </c>
      <c r="F83" s="5" t="s">
        <v>14</v>
      </c>
    </row>
    <row r="84" spans="2:6" hidden="1">
      <c r="B84" s="4" t="s">
        <v>143</v>
      </c>
      <c r="C84" s="5">
        <f>IF(B84&lt;&gt;"",VLOOKUP(B84,Projetos!E:F,2,0),"")</f>
        <v>15</v>
      </c>
      <c r="D84" s="4" t="s">
        <v>25</v>
      </c>
      <c r="E84" s="20">
        <v>1</v>
      </c>
      <c r="F84" s="5" t="s">
        <v>14</v>
      </c>
    </row>
    <row r="85" spans="2:6" hidden="1">
      <c r="B85" s="4" t="s">
        <v>143</v>
      </c>
      <c r="C85" s="5">
        <f>IF(B85&lt;&gt;"",VLOOKUP(B85,Projetos!E:F,2,0),"")</f>
        <v>15</v>
      </c>
      <c r="D85" s="4" t="s">
        <v>144</v>
      </c>
      <c r="E85" s="20">
        <v>100</v>
      </c>
      <c r="F85" s="5" t="s">
        <v>14</v>
      </c>
    </row>
    <row r="86" spans="2:6" hidden="1">
      <c r="B86" s="4" t="s">
        <v>143</v>
      </c>
      <c r="C86" s="5">
        <f>IF(B86&lt;&gt;"",VLOOKUP(B86,Projetos!E:F,2,0),"")</f>
        <v>15</v>
      </c>
      <c r="D86" s="4" t="s">
        <v>691</v>
      </c>
      <c r="E86" s="20">
        <v>4</v>
      </c>
      <c r="F86" s="5" t="s">
        <v>14</v>
      </c>
    </row>
    <row r="87" spans="2:6" hidden="1">
      <c r="B87" s="4" t="s">
        <v>125</v>
      </c>
      <c r="C87" s="5">
        <f>IF(B87&lt;&gt;"",VLOOKUP(B87,Projetos!E:F,2,0),"")</f>
        <v>16</v>
      </c>
      <c r="D87" s="4" t="s">
        <v>16</v>
      </c>
      <c r="E87" s="20">
        <v>5</v>
      </c>
      <c r="F87" s="5" t="s">
        <v>14</v>
      </c>
    </row>
    <row r="88" spans="2:6" hidden="1">
      <c r="B88" s="4" t="s">
        <v>125</v>
      </c>
      <c r="C88" s="5">
        <f>IF(B88&lt;&gt;"",VLOOKUP(B88,Projetos!E:F,2,0),"")</f>
        <v>16</v>
      </c>
      <c r="D88" s="4" t="s">
        <v>21</v>
      </c>
      <c r="E88" s="20">
        <v>5</v>
      </c>
      <c r="F88" s="5" t="s">
        <v>14</v>
      </c>
    </row>
    <row r="89" spans="2:6" hidden="1">
      <c r="B89" s="4" t="s">
        <v>125</v>
      </c>
      <c r="C89" s="5">
        <f>IF(B89&lt;&gt;"",VLOOKUP(B89,Projetos!E:F,2,0),"")</f>
        <v>16</v>
      </c>
      <c r="D89" s="4" t="s">
        <v>26</v>
      </c>
      <c r="E89" s="20">
        <v>7</v>
      </c>
      <c r="F89" s="5" t="s">
        <v>14</v>
      </c>
    </row>
    <row r="90" spans="2:6" hidden="1">
      <c r="B90" s="4" t="s">
        <v>125</v>
      </c>
      <c r="C90" s="5">
        <f>IF(B90&lt;&gt;"",VLOOKUP(B90,Projetos!E:F,2,0),"")</f>
        <v>16</v>
      </c>
      <c r="D90" s="4" t="s">
        <v>31</v>
      </c>
      <c r="E90" s="20">
        <v>3</v>
      </c>
      <c r="F90" s="5" t="s">
        <v>14</v>
      </c>
    </row>
    <row r="91" spans="2:6" hidden="1">
      <c r="B91" s="4" t="s">
        <v>125</v>
      </c>
      <c r="C91" s="5">
        <f>IF(B91&lt;&gt;"",VLOOKUP(B91,Projetos!E:F,2,0),"")</f>
        <v>16</v>
      </c>
      <c r="D91" s="4" t="s">
        <v>40</v>
      </c>
      <c r="E91" s="20">
        <v>17</v>
      </c>
      <c r="F91" s="5" t="s">
        <v>14</v>
      </c>
    </row>
    <row r="92" spans="2:6" hidden="1">
      <c r="B92" s="4" t="s">
        <v>125</v>
      </c>
      <c r="C92" s="5">
        <f>IF(B92&lt;&gt;"",VLOOKUP(B92,Projetos!E:F,2,0),"")</f>
        <v>16</v>
      </c>
      <c r="D92" s="4" t="s">
        <v>23</v>
      </c>
      <c r="E92" s="20">
        <v>2</v>
      </c>
      <c r="F92" s="5" t="s">
        <v>14</v>
      </c>
    </row>
    <row r="93" spans="2:6" hidden="1">
      <c r="B93" s="4" t="s">
        <v>125</v>
      </c>
      <c r="C93" s="5">
        <f>IF(B93&lt;&gt;"",VLOOKUP(B93,Projetos!E:F,2,0),"")</f>
        <v>16</v>
      </c>
      <c r="D93" s="4" t="s">
        <v>49</v>
      </c>
      <c r="E93" s="20">
        <v>51</v>
      </c>
      <c r="F93" s="5" t="s">
        <v>14</v>
      </c>
    </row>
    <row r="94" spans="2:6" hidden="1">
      <c r="B94" s="4" t="s">
        <v>99</v>
      </c>
      <c r="C94" s="5">
        <f>IF(B94&lt;&gt;"",VLOOKUP(B94,Projetos!E:F,2,0),"")</f>
        <v>17</v>
      </c>
      <c r="D94" s="4" t="s">
        <v>16</v>
      </c>
      <c r="E94" s="20">
        <v>5</v>
      </c>
      <c r="F94" s="5" t="s">
        <v>14</v>
      </c>
    </row>
    <row r="95" spans="2:6" hidden="1">
      <c r="B95" s="4" t="s">
        <v>99</v>
      </c>
      <c r="C95" s="5">
        <f>IF(B95&lt;&gt;"",VLOOKUP(B95,Projetos!E:F,2,0),"")</f>
        <v>17</v>
      </c>
      <c r="D95" s="4" t="s">
        <v>21</v>
      </c>
      <c r="E95" s="20">
        <v>5</v>
      </c>
      <c r="F95" s="5" t="s">
        <v>14</v>
      </c>
    </row>
    <row r="96" spans="2:6" hidden="1">
      <c r="B96" s="4" t="s">
        <v>99</v>
      </c>
      <c r="C96" s="5">
        <f>IF(B96&lt;&gt;"",VLOOKUP(B96,Projetos!E:F,2,0),"")</f>
        <v>17</v>
      </c>
      <c r="D96" s="4" t="s">
        <v>26</v>
      </c>
      <c r="E96" s="20">
        <v>7</v>
      </c>
      <c r="F96" s="5" t="s">
        <v>14</v>
      </c>
    </row>
    <row r="97" spans="2:6" hidden="1">
      <c r="B97" s="4" t="s">
        <v>99</v>
      </c>
      <c r="C97" s="5">
        <f>IF(B97&lt;&gt;"",VLOOKUP(B97,Projetos!E:F,2,0),"")</f>
        <v>17</v>
      </c>
      <c r="D97" s="4" t="s">
        <v>31</v>
      </c>
      <c r="E97" s="20">
        <v>4</v>
      </c>
      <c r="F97" s="5" t="s">
        <v>14</v>
      </c>
    </row>
    <row r="98" spans="2:6" hidden="1">
      <c r="B98" s="4" t="s">
        <v>99</v>
      </c>
      <c r="C98" s="5">
        <f>IF(B98&lt;&gt;"",VLOOKUP(B98,Projetos!E:F,2,0),"")</f>
        <v>17</v>
      </c>
      <c r="D98" s="4" t="s">
        <v>40</v>
      </c>
      <c r="E98" s="20">
        <v>17</v>
      </c>
      <c r="F98" s="5" t="s">
        <v>14</v>
      </c>
    </row>
    <row r="99" spans="2:6" hidden="1">
      <c r="B99" s="4" t="s">
        <v>99</v>
      </c>
      <c r="C99" s="5">
        <f>IF(B99&lt;&gt;"",VLOOKUP(B99,Projetos!E:F,2,0),"")</f>
        <v>17</v>
      </c>
      <c r="D99" s="4" t="s">
        <v>23</v>
      </c>
      <c r="E99" s="20">
        <v>2</v>
      </c>
      <c r="F99" s="5" t="s">
        <v>14</v>
      </c>
    </row>
    <row r="100" spans="2:6" hidden="1">
      <c r="B100" s="4" t="s">
        <v>99</v>
      </c>
      <c r="C100" s="5">
        <f>IF(B100&lt;&gt;"",VLOOKUP(B100,Projetos!E:F,2,0),"")</f>
        <v>17</v>
      </c>
      <c r="D100" s="4" t="s">
        <v>49</v>
      </c>
      <c r="E100" s="20">
        <v>50</v>
      </c>
      <c r="F100" s="5" t="s">
        <v>14</v>
      </c>
    </row>
    <row r="101" spans="2:6" hidden="1">
      <c r="B101" s="4" t="s">
        <v>33</v>
      </c>
      <c r="C101" s="5">
        <f>IF(B101&lt;&gt;"",VLOOKUP(B101,Projetos!E:F,2,0),"")</f>
        <v>18</v>
      </c>
      <c r="D101" s="4" t="s">
        <v>21</v>
      </c>
      <c r="E101" s="20">
        <v>50</v>
      </c>
      <c r="F101" s="5" t="s">
        <v>900</v>
      </c>
    </row>
    <row r="102" spans="2:6" hidden="1">
      <c r="B102" s="4" t="s">
        <v>33</v>
      </c>
      <c r="C102" s="5">
        <f>IF(B102&lt;&gt;"",VLOOKUP(B102,Projetos!E:F,2,0),"")</f>
        <v>18</v>
      </c>
      <c r="D102" s="4" t="s">
        <v>49</v>
      </c>
      <c r="E102" s="20">
        <v>50</v>
      </c>
      <c r="F102" s="5" t="s">
        <v>900</v>
      </c>
    </row>
    <row r="103" spans="2:6" hidden="1">
      <c r="B103" s="4" t="s">
        <v>33</v>
      </c>
      <c r="C103" s="5">
        <f>IF(B103&lt;&gt;"",VLOOKUP(B103,Projetos!E:F,2,0),"")</f>
        <v>18</v>
      </c>
      <c r="D103" s="4" t="s">
        <v>26</v>
      </c>
      <c r="E103" s="20">
        <v>100</v>
      </c>
      <c r="F103" s="5" t="s">
        <v>900</v>
      </c>
    </row>
    <row r="104" spans="2:6" hidden="1">
      <c r="B104" s="4" t="s">
        <v>33</v>
      </c>
      <c r="C104" s="5">
        <f>IF(B104&lt;&gt;"",VLOOKUP(B104,Projetos!E:F,2,0),"")</f>
        <v>18</v>
      </c>
      <c r="D104" s="4" t="s">
        <v>31</v>
      </c>
      <c r="E104" s="20">
        <v>100</v>
      </c>
      <c r="F104" s="5" t="s">
        <v>900</v>
      </c>
    </row>
    <row r="105" spans="2:6" hidden="1">
      <c r="B105" s="4" t="s">
        <v>260</v>
      </c>
      <c r="C105" s="5">
        <f>IF(B105&lt;&gt;"",VLOOKUP(B105,Projetos!E:F,2,0),"")</f>
        <v>19</v>
      </c>
      <c r="D105" s="4" t="s">
        <v>119</v>
      </c>
      <c r="E105" s="20">
        <v>18</v>
      </c>
      <c r="F105" s="5" t="s">
        <v>900</v>
      </c>
    </row>
    <row r="106" spans="2:6" hidden="1">
      <c r="B106" s="4" t="s">
        <v>260</v>
      </c>
      <c r="C106" s="5">
        <f>IF(B106&lt;&gt;"",VLOOKUP(B106,Projetos!E:F,2,0),"")</f>
        <v>19</v>
      </c>
      <c r="D106" s="4" t="s">
        <v>26</v>
      </c>
      <c r="E106" s="20">
        <v>18</v>
      </c>
      <c r="F106" s="5" t="s">
        <v>900</v>
      </c>
    </row>
    <row r="107" spans="2:6" hidden="1">
      <c r="B107" s="4" t="s">
        <v>260</v>
      </c>
      <c r="C107" s="5">
        <f>IF(B107&lt;&gt;"",VLOOKUP(B107,Projetos!E:F,2,0),"")</f>
        <v>19</v>
      </c>
      <c r="D107" s="4" t="s">
        <v>31</v>
      </c>
      <c r="E107" s="20">
        <v>18</v>
      </c>
      <c r="F107" s="5" t="s">
        <v>900</v>
      </c>
    </row>
    <row r="108" spans="2:6" hidden="1">
      <c r="B108" s="4" t="s">
        <v>260</v>
      </c>
      <c r="C108" s="5">
        <f>IF(B108&lt;&gt;"",VLOOKUP(B108,Projetos!E:F,2,0),"")</f>
        <v>19</v>
      </c>
      <c r="D108" s="4" t="s">
        <v>40</v>
      </c>
      <c r="E108" s="20">
        <v>18</v>
      </c>
      <c r="F108" s="5" t="s">
        <v>900</v>
      </c>
    </row>
    <row r="109" spans="2:6" hidden="1">
      <c r="B109" s="4" t="s">
        <v>260</v>
      </c>
      <c r="C109" s="5">
        <f>IF(B109&lt;&gt;"",VLOOKUP(B109,Projetos!E:F,2,0),"")</f>
        <v>19</v>
      </c>
      <c r="D109" s="4" t="s">
        <v>49</v>
      </c>
      <c r="E109" s="20">
        <v>18</v>
      </c>
      <c r="F109" s="5" t="s">
        <v>900</v>
      </c>
    </row>
    <row r="110" spans="2:6" hidden="1">
      <c r="B110" s="4" t="s">
        <v>766</v>
      </c>
      <c r="C110" s="5">
        <f>IF(B110&lt;&gt;"",VLOOKUP(B110,Projetos!E:F,2,0),"")</f>
        <v>20</v>
      </c>
      <c r="D110" s="4" t="s">
        <v>119</v>
      </c>
      <c r="E110" s="20">
        <v>9</v>
      </c>
      <c r="F110" s="5" t="s">
        <v>162</v>
      </c>
    </row>
    <row r="111" spans="2:6" hidden="1">
      <c r="B111" s="4" t="s">
        <v>766</v>
      </c>
      <c r="C111" s="5">
        <f>IF(B111&lt;&gt;"",VLOOKUP(B111,Projetos!E:F,2,0),"")</f>
        <v>20</v>
      </c>
      <c r="D111" s="4" t="s">
        <v>26</v>
      </c>
      <c r="E111" s="20">
        <v>9</v>
      </c>
      <c r="F111" s="5" t="s">
        <v>162</v>
      </c>
    </row>
    <row r="112" spans="2:6" hidden="1">
      <c r="B112" s="4" t="s">
        <v>766</v>
      </c>
      <c r="C112" s="5">
        <f>IF(B112&lt;&gt;"",VLOOKUP(B112,Projetos!E:F,2,0),"")</f>
        <v>20</v>
      </c>
      <c r="D112" s="4" t="s">
        <v>31</v>
      </c>
      <c r="E112" s="20">
        <v>9</v>
      </c>
      <c r="F112" s="5" t="s">
        <v>162</v>
      </c>
    </row>
    <row r="113" spans="2:6" hidden="1">
      <c r="B113" s="4" t="s">
        <v>766</v>
      </c>
      <c r="C113" s="5">
        <f>IF(B113&lt;&gt;"",VLOOKUP(B113,Projetos!E:F,2,0),"")</f>
        <v>20</v>
      </c>
      <c r="D113" s="4" t="s">
        <v>40</v>
      </c>
      <c r="E113" s="20">
        <v>9</v>
      </c>
      <c r="F113" s="5" t="s">
        <v>162</v>
      </c>
    </row>
    <row r="114" spans="2:6" hidden="1">
      <c r="B114" s="4" t="s">
        <v>766</v>
      </c>
      <c r="C114" s="5">
        <f>IF(B114&lt;&gt;"",VLOOKUP(B114,Projetos!E:F,2,0),"")</f>
        <v>20</v>
      </c>
      <c r="D114" s="4" t="s">
        <v>49</v>
      </c>
      <c r="E114" s="20">
        <v>9</v>
      </c>
      <c r="F114" s="5" t="s">
        <v>162</v>
      </c>
    </row>
    <row r="115" spans="2:6" hidden="1">
      <c r="B115" s="4" t="s">
        <v>118</v>
      </c>
      <c r="C115" s="5">
        <f>IF(B115&lt;&gt;"",VLOOKUP(B115,Projetos!E:F,2,0),"")</f>
        <v>21</v>
      </c>
      <c r="D115" s="4" t="s">
        <v>119</v>
      </c>
      <c r="E115" s="20">
        <v>96</v>
      </c>
      <c r="F115" s="5" t="s">
        <v>900</v>
      </c>
    </row>
    <row r="116" spans="2:6" hidden="1">
      <c r="B116" s="4" t="s">
        <v>118</v>
      </c>
      <c r="C116" s="5">
        <f>IF(B116&lt;&gt;"",VLOOKUP(B116,Projetos!E:F,2,0),"")</f>
        <v>21</v>
      </c>
      <c r="D116" s="4" t="s">
        <v>26</v>
      </c>
      <c r="E116" s="20">
        <v>84</v>
      </c>
      <c r="F116" s="5" t="s">
        <v>900</v>
      </c>
    </row>
    <row r="117" spans="2:6" hidden="1">
      <c r="B117" s="4" t="s">
        <v>118</v>
      </c>
      <c r="C117" s="5">
        <f>IF(B117&lt;&gt;"",VLOOKUP(B117,Projetos!E:F,2,0),"")</f>
        <v>21</v>
      </c>
      <c r="D117" s="4" t="s">
        <v>31</v>
      </c>
      <c r="E117" s="20">
        <v>84</v>
      </c>
      <c r="F117" s="5" t="s">
        <v>14</v>
      </c>
    </row>
    <row r="118" spans="2:6" hidden="1">
      <c r="B118" s="4" t="s">
        <v>150</v>
      </c>
      <c r="C118" s="5">
        <f>IF(B118&lt;&gt;"",VLOOKUP(B118,Projetos!E:F,2,0),"")</f>
        <v>22</v>
      </c>
      <c r="D118" s="4" t="s">
        <v>21</v>
      </c>
      <c r="E118" s="20">
        <v>100</v>
      </c>
      <c r="F118" s="5" t="s">
        <v>14</v>
      </c>
    </row>
    <row r="119" spans="2:6" hidden="1">
      <c r="B119" s="4" t="s">
        <v>150</v>
      </c>
      <c r="C119" s="5">
        <f>IF(B119&lt;&gt;"",VLOOKUP(B119,Projetos!E:F,2,0),"")</f>
        <v>22</v>
      </c>
      <c r="D119" s="4" t="s">
        <v>65</v>
      </c>
      <c r="E119" s="20">
        <v>100</v>
      </c>
      <c r="F119" s="5" t="s">
        <v>14</v>
      </c>
    </row>
    <row r="120" spans="2:6" hidden="1">
      <c r="B120" s="4" t="s">
        <v>150</v>
      </c>
      <c r="C120" s="5">
        <f>IF(B120&lt;&gt;"",VLOOKUP(B120,Projetos!E:F,2,0),"")</f>
        <v>22</v>
      </c>
      <c r="D120" s="4" t="s">
        <v>26</v>
      </c>
      <c r="E120" s="20">
        <v>100</v>
      </c>
      <c r="F120" s="5" t="s">
        <v>14</v>
      </c>
    </row>
    <row r="121" spans="2:6" hidden="1">
      <c r="B121" s="4" t="s">
        <v>150</v>
      </c>
      <c r="C121" s="5">
        <f>IF(B121&lt;&gt;"",VLOOKUP(B121,Projetos!E:F,2,0),"")</f>
        <v>22</v>
      </c>
      <c r="D121" s="4" t="s">
        <v>31</v>
      </c>
      <c r="E121" s="20">
        <v>100</v>
      </c>
      <c r="F121" s="5" t="s">
        <v>14</v>
      </c>
    </row>
    <row r="122" spans="2:6" hidden="1">
      <c r="B122" s="4" t="s">
        <v>150</v>
      </c>
      <c r="C122" s="5">
        <f>IF(B122&lt;&gt;"",VLOOKUP(B122,Projetos!E:F,2,0),"")</f>
        <v>22</v>
      </c>
      <c r="D122" s="4" t="s">
        <v>40</v>
      </c>
      <c r="E122" s="20">
        <v>100</v>
      </c>
      <c r="F122" s="5" t="s">
        <v>14</v>
      </c>
    </row>
    <row r="123" spans="2:6" hidden="1">
      <c r="B123" s="4" t="s">
        <v>150</v>
      </c>
      <c r="C123" s="5">
        <f>IF(B123&lt;&gt;"",VLOOKUP(B123,Projetos!E:F,2,0),"")</f>
        <v>22</v>
      </c>
      <c r="D123" s="4" t="s">
        <v>25</v>
      </c>
      <c r="E123" s="20">
        <v>100</v>
      </c>
      <c r="F123" s="5" t="s">
        <v>14</v>
      </c>
    </row>
    <row r="124" spans="2:6" hidden="1">
      <c r="B124" s="4" t="s">
        <v>150</v>
      </c>
      <c r="C124" s="5">
        <f>IF(B124&lt;&gt;"",VLOOKUP(B124,Projetos!E:F,2,0),"")</f>
        <v>22</v>
      </c>
      <c r="D124" s="4" t="s">
        <v>49</v>
      </c>
      <c r="E124" s="20">
        <v>100</v>
      </c>
      <c r="F124" s="5" t="s">
        <v>14</v>
      </c>
    </row>
    <row r="125" spans="2:6" hidden="1">
      <c r="B125" s="4" t="s">
        <v>128</v>
      </c>
      <c r="C125" s="5">
        <f>IF(B125&lt;&gt;"",VLOOKUP(B125,Projetos!E:F,2,0),"")</f>
        <v>23</v>
      </c>
      <c r="D125" s="4" t="s">
        <v>16</v>
      </c>
      <c r="E125" s="20">
        <v>10</v>
      </c>
      <c r="F125" s="5" t="s">
        <v>900</v>
      </c>
    </row>
    <row r="126" spans="2:6" hidden="1">
      <c r="B126" s="4" t="s">
        <v>128</v>
      </c>
      <c r="C126" s="5">
        <f>IF(B126&lt;&gt;"",VLOOKUP(B126,Projetos!E:F,2,0),"")</f>
        <v>23</v>
      </c>
      <c r="D126" s="4" t="s">
        <v>21</v>
      </c>
      <c r="E126" s="20">
        <v>60</v>
      </c>
      <c r="F126" s="5" t="s">
        <v>900</v>
      </c>
    </row>
    <row r="127" spans="2:6" hidden="1">
      <c r="B127" s="4" t="s">
        <v>128</v>
      </c>
      <c r="C127" s="5">
        <f>IF(B127&lt;&gt;"",VLOOKUP(B127,Projetos!E:F,2,0),"")</f>
        <v>23</v>
      </c>
      <c r="D127" s="4" t="s">
        <v>31</v>
      </c>
      <c r="E127" s="20">
        <v>60</v>
      </c>
      <c r="F127" s="5" t="s">
        <v>900</v>
      </c>
    </row>
    <row r="128" spans="2:6" hidden="1">
      <c r="B128" s="4" t="s">
        <v>128</v>
      </c>
      <c r="C128" s="5">
        <f>IF(B128&lt;&gt;"",VLOOKUP(B128,Projetos!E:F,2,0),"")</f>
        <v>23</v>
      </c>
      <c r="D128" s="4" t="s">
        <v>40</v>
      </c>
      <c r="E128" s="20">
        <v>60</v>
      </c>
      <c r="F128" s="5" t="s">
        <v>900</v>
      </c>
    </row>
    <row r="129" spans="2:6" hidden="1">
      <c r="B129" s="4" t="s">
        <v>128</v>
      </c>
      <c r="C129" s="5">
        <f>IF(B129&lt;&gt;"",VLOOKUP(B129,Projetos!E:F,2,0),"")</f>
        <v>23</v>
      </c>
      <c r="D129" s="4" t="s">
        <v>49</v>
      </c>
      <c r="E129" s="20">
        <v>60</v>
      </c>
      <c r="F129" s="5" t="s">
        <v>900</v>
      </c>
    </row>
    <row r="130" spans="2:6" hidden="1">
      <c r="B130" s="4" t="s">
        <v>122</v>
      </c>
      <c r="C130" s="5">
        <f>IF(B130&lt;&gt;"",VLOOKUP(B130,Projetos!E:F,2,0),"")</f>
        <v>24</v>
      </c>
      <c r="D130" s="4" t="s">
        <v>16</v>
      </c>
      <c r="E130" s="20">
        <v>16</v>
      </c>
      <c r="F130" s="5" t="s">
        <v>900</v>
      </c>
    </row>
    <row r="131" spans="2:6" hidden="1">
      <c r="B131" s="4" t="s">
        <v>122</v>
      </c>
      <c r="C131" s="5">
        <f>IF(B131&lt;&gt;"",VLOOKUP(B131,Projetos!E:F,2,0),"")</f>
        <v>24</v>
      </c>
      <c r="D131" s="4" t="s">
        <v>26</v>
      </c>
      <c r="E131" s="20">
        <v>40</v>
      </c>
      <c r="F131" s="5" t="s">
        <v>900</v>
      </c>
    </row>
    <row r="132" spans="2:6" hidden="1">
      <c r="B132" s="4" t="s">
        <v>122</v>
      </c>
      <c r="C132" s="5">
        <f>IF(B132&lt;&gt;"",VLOOKUP(B132,Projetos!E:F,2,0),"")</f>
        <v>24</v>
      </c>
      <c r="D132" s="4" t="s">
        <v>31</v>
      </c>
      <c r="E132" s="20">
        <v>40</v>
      </c>
      <c r="F132" s="5" t="s">
        <v>900</v>
      </c>
    </row>
    <row r="133" spans="2:6" hidden="1">
      <c r="B133" s="4" t="s">
        <v>122</v>
      </c>
      <c r="C133" s="5">
        <f>IF(B133&lt;&gt;"",VLOOKUP(B133,Projetos!E:F,2,0),"")</f>
        <v>24</v>
      </c>
      <c r="D133" s="4" t="s">
        <v>25</v>
      </c>
      <c r="E133" s="20">
        <v>10</v>
      </c>
      <c r="F133" s="5" t="s">
        <v>900</v>
      </c>
    </row>
    <row r="134" spans="2:6" hidden="1">
      <c r="B134" s="4" t="s">
        <v>136</v>
      </c>
      <c r="C134" s="5">
        <f>IF(B134&lt;&gt;"",VLOOKUP(B134,Projetos!E:F,2,0),"")</f>
        <v>25</v>
      </c>
      <c r="D134" s="4" t="s">
        <v>16</v>
      </c>
      <c r="E134" s="20">
        <v>8</v>
      </c>
      <c r="F134" s="5" t="s">
        <v>900</v>
      </c>
    </row>
    <row r="135" spans="2:6" hidden="1">
      <c r="B135" s="4" t="s">
        <v>136</v>
      </c>
      <c r="C135" s="5">
        <f>IF(B135&lt;&gt;"",VLOOKUP(B135,Projetos!E:F,2,0),"")</f>
        <v>25</v>
      </c>
      <c r="D135" s="4" t="s">
        <v>49</v>
      </c>
      <c r="E135" s="20">
        <v>30</v>
      </c>
      <c r="F135" s="5" t="s">
        <v>900</v>
      </c>
    </row>
    <row r="136" spans="2:6" hidden="1">
      <c r="B136" s="4" t="s">
        <v>136</v>
      </c>
      <c r="C136" s="5">
        <f>IF(B136&lt;&gt;"",VLOOKUP(B136,Projetos!E:F,2,0),"")</f>
        <v>25</v>
      </c>
      <c r="D136" s="4" t="s">
        <v>26</v>
      </c>
      <c r="E136" s="20">
        <v>40</v>
      </c>
      <c r="F136" s="5" t="s">
        <v>900</v>
      </c>
    </row>
    <row r="137" spans="2:6" hidden="1">
      <c r="B137" s="4" t="s">
        <v>136</v>
      </c>
      <c r="C137" s="5">
        <f>IF(B137&lt;&gt;"",VLOOKUP(B137,Projetos!E:F,2,0),"")</f>
        <v>25</v>
      </c>
      <c r="D137" s="4" t="s">
        <v>31</v>
      </c>
      <c r="E137" s="20">
        <v>40</v>
      </c>
      <c r="F137" s="5" t="s">
        <v>900</v>
      </c>
    </row>
    <row r="138" spans="2:6" hidden="1">
      <c r="B138" s="4" t="s">
        <v>146</v>
      </c>
      <c r="C138" s="5">
        <f>IF(B138&lt;&gt;"",VLOOKUP(B138,Projetos!E:F,2,0),"")</f>
        <v>27</v>
      </c>
      <c r="D138" s="4" t="s">
        <v>11</v>
      </c>
      <c r="E138" s="20">
        <v>24</v>
      </c>
      <c r="F138" s="5" t="s">
        <v>900</v>
      </c>
    </row>
    <row r="139" spans="2:6" hidden="1">
      <c r="B139" s="4" t="s">
        <v>146</v>
      </c>
      <c r="C139" s="5">
        <f>IF(B139&lt;&gt;"",VLOOKUP(B139,Projetos!E:F,2,0),"")</f>
        <v>27</v>
      </c>
      <c r="D139" s="4" t="s">
        <v>65</v>
      </c>
      <c r="E139" s="20">
        <v>24</v>
      </c>
      <c r="F139" s="5" t="s">
        <v>900</v>
      </c>
    </row>
    <row r="140" spans="2:6" hidden="1">
      <c r="B140" s="4" t="s">
        <v>146</v>
      </c>
      <c r="C140" s="5">
        <f>IF(B140&lt;&gt;"",VLOOKUP(B140,Projetos!E:F,2,0),"")</f>
        <v>27</v>
      </c>
      <c r="D140" s="4" t="s">
        <v>31</v>
      </c>
      <c r="E140" s="20">
        <v>24</v>
      </c>
      <c r="F140" s="5" t="s">
        <v>900</v>
      </c>
    </row>
    <row r="141" spans="2:6" hidden="1">
      <c r="B141" s="4" t="s">
        <v>146</v>
      </c>
      <c r="C141" s="5">
        <f>IF(B141&lt;&gt;"",VLOOKUP(B141,Projetos!E:F,2,0),"")</f>
        <v>27</v>
      </c>
      <c r="D141" s="4" t="s">
        <v>23</v>
      </c>
      <c r="E141" s="20">
        <v>24</v>
      </c>
      <c r="F141" s="5" t="s">
        <v>900</v>
      </c>
    </row>
    <row r="142" spans="2:6" hidden="1">
      <c r="B142" s="4" t="s">
        <v>146</v>
      </c>
      <c r="C142" s="5">
        <f>IF(B142&lt;&gt;"",VLOOKUP(B142,Projetos!E:F,2,0),"")</f>
        <v>27</v>
      </c>
      <c r="D142" s="4" t="s">
        <v>49</v>
      </c>
      <c r="E142" s="20">
        <v>24</v>
      </c>
      <c r="F142" s="5" t="s">
        <v>900</v>
      </c>
    </row>
    <row r="143" spans="2:6" hidden="1">
      <c r="B143" s="4" t="s">
        <v>104</v>
      </c>
      <c r="C143" s="5">
        <f>IF(B143&lt;&gt;"",VLOOKUP(B143,Projetos!E:F,2,0),"")</f>
        <v>28</v>
      </c>
      <c r="D143" s="4" t="s">
        <v>11</v>
      </c>
      <c r="E143" s="20">
        <v>10</v>
      </c>
      <c r="F143" s="5" t="s">
        <v>14</v>
      </c>
    </row>
    <row r="144" spans="2:6" hidden="1">
      <c r="B144" s="4" t="s">
        <v>104</v>
      </c>
      <c r="C144" s="5">
        <f>IF(B144&lt;&gt;"",VLOOKUP(B144,Projetos!E:F,2,0),"")</f>
        <v>28</v>
      </c>
      <c r="D144" s="4" t="s">
        <v>65</v>
      </c>
      <c r="E144" s="20">
        <v>10</v>
      </c>
      <c r="F144" s="5" t="s">
        <v>14</v>
      </c>
    </row>
    <row r="145" spans="2:6" hidden="1">
      <c r="B145" s="4" t="s">
        <v>104</v>
      </c>
      <c r="C145" s="5">
        <f>IF(B145&lt;&gt;"",VLOOKUP(B145,Projetos!E:F,2,0),"")</f>
        <v>28</v>
      </c>
      <c r="D145" s="4" t="s">
        <v>31</v>
      </c>
      <c r="E145" s="20">
        <v>20</v>
      </c>
      <c r="F145" s="5" t="s">
        <v>14</v>
      </c>
    </row>
    <row r="146" spans="2:6" hidden="1">
      <c r="B146" s="4" t="s">
        <v>104</v>
      </c>
      <c r="C146" s="5">
        <f>IF(B146&lt;&gt;"",VLOOKUP(B146,Projetos!E:F,2,0),"")</f>
        <v>28</v>
      </c>
      <c r="D146" s="4" t="s">
        <v>23</v>
      </c>
      <c r="E146" s="20">
        <v>30</v>
      </c>
      <c r="F146" s="5" t="s">
        <v>14</v>
      </c>
    </row>
    <row r="147" spans="2:6" hidden="1">
      <c r="B147" s="4" t="s">
        <v>104</v>
      </c>
      <c r="C147" s="5">
        <f>IF(B147&lt;&gt;"",VLOOKUP(B147,Projetos!E:F,2,0),"")</f>
        <v>28</v>
      </c>
      <c r="D147" s="4" t="s">
        <v>49</v>
      </c>
      <c r="E147" s="20">
        <v>10</v>
      </c>
      <c r="F147" s="5" t="s">
        <v>14</v>
      </c>
    </row>
    <row r="148" spans="2:6" hidden="1">
      <c r="B148" s="4" t="s">
        <v>109</v>
      </c>
      <c r="C148" s="5">
        <f>IF(B148&lt;&gt;"",VLOOKUP(B148,Projetos!E:F,2,0),"")</f>
        <v>29</v>
      </c>
      <c r="D148" s="4" t="s">
        <v>11</v>
      </c>
      <c r="E148" s="20">
        <v>5</v>
      </c>
      <c r="F148" s="5" t="s">
        <v>14</v>
      </c>
    </row>
    <row r="149" spans="2:6" hidden="1">
      <c r="B149" s="4" t="s">
        <v>109</v>
      </c>
      <c r="C149" s="5">
        <f>IF(B149&lt;&gt;"",VLOOKUP(B149,Projetos!E:F,2,0),"")</f>
        <v>29</v>
      </c>
      <c r="D149" s="4" t="s">
        <v>65</v>
      </c>
      <c r="E149" s="20">
        <v>5</v>
      </c>
      <c r="F149" s="5" t="s">
        <v>14</v>
      </c>
    </row>
    <row r="150" spans="2:6" hidden="1">
      <c r="B150" s="4" t="s">
        <v>109</v>
      </c>
      <c r="C150" s="5">
        <f>IF(B150&lt;&gt;"",VLOOKUP(B150,Projetos!E:F,2,0),"")</f>
        <v>29</v>
      </c>
      <c r="D150" s="4" t="s">
        <v>31</v>
      </c>
      <c r="E150" s="20">
        <v>20</v>
      </c>
      <c r="F150" s="5" t="s">
        <v>14</v>
      </c>
    </row>
    <row r="151" spans="2:6" hidden="1">
      <c r="B151" s="4" t="s">
        <v>109</v>
      </c>
      <c r="C151" s="5">
        <f>IF(B151&lt;&gt;"",VLOOKUP(B151,Projetos!E:F,2,0),"")</f>
        <v>29</v>
      </c>
      <c r="D151" s="4" t="s">
        <v>23</v>
      </c>
      <c r="E151" s="20">
        <v>20</v>
      </c>
      <c r="F151" s="5" t="s">
        <v>14</v>
      </c>
    </row>
    <row r="152" spans="2:6" hidden="1">
      <c r="B152" s="4" t="s">
        <v>109</v>
      </c>
      <c r="C152" s="5">
        <f>IF(B152&lt;&gt;"",VLOOKUP(B152,Projetos!E:F,2,0),"")</f>
        <v>29</v>
      </c>
      <c r="D152" s="4" t="s">
        <v>49</v>
      </c>
      <c r="E152" s="20">
        <v>10</v>
      </c>
      <c r="F152" s="5" t="s">
        <v>14</v>
      </c>
    </row>
    <row r="153" spans="2:6" hidden="1">
      <c r="B153" s="4" t="s">
        <v>138</v>
      </c>
      <c r="C153" s="5">
        <f>IF(B153&lt;&gt;"",VLOOKUP(B153,Projetos!E:F,2,0),"")</f>
        <v>30</v>
      </c>
      <c r="D153" s="4" t="s">
        <v>16</v>
      </c>
      <c r="E153" s="20">
        <v>100</v>
      </c>
      <c r="F153" s="5" t="s">
        <v>900</v>
      </c>
    </row>
    <row r="154" spans="2:6" hidden="1">
      <c r="B154" s="4" t="s">
        <v>138</v>
      </c>
      <c r="C154" s="5">
        <f>IF(B154&lt;&gt;"",VLOOKUP(B154,Projetos!E:F,2,0),"")</f>
        <v>30</v>
      </c>
      <c r="D154" s="4" t="s">
        <v>21</v>
      </c>
      <c r="E154" s="20">
        <v>50</v>
      </c>
      <c r="F154" s="5" t="s">
        <v>900</v>
      </c>
    </row>
    <row r="155" spans="2:6" hidden="1">
      <c r="B155" s="4" t="s">
        <v>138</v>
      </c>
      <c r="C155" s="5">
        <f>IF(B155&lt;&gt;"",VLOOKUP(B155,Projetos!E:F,2,0),"")</f>
        <v>30</v>
      </c>
      <c r="D155" s="4" t="s">
        <v>153</v>
      </c>
      <c r="E155" s="20">
        <v>100</v>
      </c>
      <c r="F155" s="5" t="s">
        <v>900</v>
      </c>
    </row>
    <row r="156" spans="2:6" hidden="1">
      <c r="B156" s="4" t="s">
        <v>138</v>
      </c>
      <c r="C156" s="5">
        <f>IF(B156&lt;&gt;"",VLOOKUP(B156,Projetos!E:F,2,0),"")</f>
        <v>30</v>
      </c>
      <c r="D156" s="4" t="s">
        <v>26</v>
      </c>
      <c r="E156" s="20">
        <v>50</v>
      </c>
      <c r="F156" s="5" t="s">
        <v>900</v>
      </c>
    </row>
    <row r="157" spans="2:6" hidden="1">
      <c r="B157" s="4" t="s">
        <v>176</v>
      </c>
      <c r="C157" s="5">
        <f>IF(B157&lt;&gt;"",VLOOKUP(B157,Projetos!E:F,2,0),"")</f>
        <v>31</v>
      </c>
      <c r="D157" s="4" t="s">
        <v>16</v>
      </c>
      <c r="E157" s="20">
        <v>100</v>
      </c>
      <c r="F157" s="5" t="s">
        <v>900</v>
      </c>
    </row>
    <row r="158" spans="2:6" hidden="1">
      <c r="B158" s="4" t="s">
        <v>176</v>
      </c>
      <c r="C158" s="5">
        <f>IF(B158&lt;&gt;"",VLOOKUP(B158,Projetos!E:F,2,0),"")</f>
        <v>31</v>
      </c>
      <c r="D158" s="4" t="s">
        <v>23</v>
      </c>
      <c r="E158" s="20">
        <v>100</v>
      </c>
      <c r="F158" s="5" t="s">
        <v>900</v>
      </c>
    </row>
    <row r="159" spans="2:6" hidden="1">
      <c r="B159" s="4" t="s">
        <v>176</v>
      </c>
      <c r="C159" s="5">
        <f>IF(B159&lt;&gt;"",VLOOKUP(B159,Projetos!E:F,2,0),"")</f>
        <v>31</v>
      </c>
      <c r="D159" s="4" t="s">
        <v>119</v>
      </c>
      <c r="E159" s="20">
        <v>100</v>
      </c>
      <c r="F159" s="5" t="s">
        <v>900</v>
      </c>
    </row>
    <row r="160" spans="2:6" hidden="1">
      <c r="B160" s="4" t="s">
        <v>192</v>
      </c>
      <c r="C160" s="5">
        <f>IF(B160&lt;&gt;"",VLOOKUP(B160,Projetos!E:F,2,0),"")</f>
        <v>32</v>
      </c>
      <c r="D160" s="4" t="s">
        <v>193</v>
      </c>
      <c r="E160" s="20">
        <v>400</v>
      </c>
      <c r="F160" s="5" t="s">
        <v>900</v>
      </c>
    </row>
    <row r="161" spans="2:6" hidden="1">
      <c r="B161" s="4" t="s">
        <v>195</v>
      </c>
      <c r="C161" s="5">
        <f>IF(B161&lt;&gt;"",VLOOKUP(B161,Projetos!E:F,2,0),"")</f>
        <v>33</v>
      </c>
      <c r="D161" s="4" t="s">
        <v>49</v>
      </c>
      <c r="E161" s="20">
        <v>150</v>
      </c>
      <c r="F161" s="5" t="s">
        <v>900</v>
      </c>
    </row>
    <row r="162" spans="2:6" hidden="1">
      <c r="B162" s="4" t="s">
        <v>195</v>
      </c>
      <c r="C162" s="5">
        <f>IF(B162&lt;&gt;"",VLOOKUP(B162,Projetos!E:F,2,0),"")</f>
        <v>33</v>
      </c>
      <c r="D162" s="4" t="s">
        <v>119</v>
      </c>
      <c r="E162" s="20">
        <v>150</v>
      </c>
      <c r="F162" s="5" t="s">
        <v>900</v>
      </c>
    </row>
    <row r="163" spans="2:6" hidden="1">
      <c r="B163" s="4" t="s">
        <v>205</v>
      </c>
      <c r="C163" s="5">
        <f>IF(B163&lt;&gt;"",VLOOKUP(B163,Projetos!E:F,2,0),"")</f>
        <v>34</v>
      </c>
      <c r="D163" s="4" t="s">
        <v>21</v>
      </c>
      <c r="E163" s="20">
        <v>4</v>
      </c>
      <c r="F163" s="5" t="s">
        <v>14</v>
      </c>
    </row>
    <row r="164" spans="2:6" hidden="1">
      <c r="B164" s="4" t="s">
        <v>205</v>
      </c>
      <c r="C164" s="5">
        <f>IF(B164&lt;&gt;"",VLOOKUP(B164,Projetos!E:F,2,0),"")</f>
        <v>34</v>
      </c>
      <c r="D164" s="4" t="s">
        <v>23</v>
      </c>
      <c r="E164" s="20">
        <v>24</v>
      </c>
      <c r="F164" s="5" t="s">
        <v>14</v>
      </c>
    </row>
    <row r="165" spans="2:6" hidden="1">
      <c r="B165" s="4" t="s">
        <v>287</v>
      </c>
      <c r="C165" s="5">
        <f>IF(B165&lt;&gt;"",VLOOKUP(B165,Projetos!E:F,2,0),"")</f>
        <v>36</v>
      </c>
      <c r="D165" s="4" t="s">
        <v>11</v>
      </c>
      <c r="E165" s="20">
        <v>16</v>
      </c>
      <c r="F165" s="5" t="s">
        <v>900</v>
      </c>
    </row>
    <row r="166" spans="2:6" hidden="1">
      <c r="B166" s="4" t="s">
        <v>287</v>
      </c>
      <c r="C166" s="5">
        <f>IF(B166&lt;&gt;"",VLOOKUP(B166,Projetos!E:F,2,0),"")</f>
        <v>36</v>
      </c>
      <c r="D166" s="4" t="s">
        <v>288</v>
      </c>
      <c r="E166" s="20">
        <v>16</v>
      </c>
      <c r="F166" s="5" t="s">
        <v>900</v>
      </c>
    </row>
    <row r="167" spans="2:6" hidden="1">
      <c r="B167" s="4" t="s">
        <v>287</v>
      </c>
      <c r="C167" s="5">
        <f>IF(B167&lt;&gt;"",VLOOKUP(B167,Projetos!E:F,2,0),"")</f>
        <v>36</v>
      </c>
      <c r="D167" s="4" t="s">
        <v>16</v>
      </c>
      <c r="E167" s="20">
        <v>16</v>
      </c>
      <c r="F167" s="5" t="s">
        <v>900</v>
      </c>
    </row>
    <row r="168" spans="2:6" hidden="1">
      <c r="B168" s="4" t="s">
        <v>287</v>
      </c>
      <c r="C168" s="5">
        <f>IF(B168&lt;&gt;"",VLOOKUP(B168,Projetos!E:F,2,0),"")</f>
        <v>36</v>
      </c>
      <c r="D168" s="4" t="s">
        <v>316</v>
      </c>
      <c r="E168" s="20">
        <v>16</v>
      </c>
      <c r="F168" s="5" t="s">
        <v>900</v>
      </c>
    </row>
    <row r="169" spans="2:6" hidden="1">
      <c r="B169" s="4" t="s">
        <v>287</v>
      </c>
      <c r="C169" s="5">
        <f>IF(B169&lt;&gt;"",VLOOKUP(B169,Projetos!E:F,2,0),"")</f>
        <v>36</v>
      </c>
      <c r="D169" s="4" t="s">
        <v>288</v>
      </c>
      <c r="E169" s="20">
        <v>16</v>
      </c>
      <c r="F169" s="5" t="s">
        <v>900</v>
      </c>
    </row>
    <row r="170" spans="2:6" hidden="1">
      <c r="B170" s="4" t="s">
        <v>1126</v>
      </c>
      <c r="C170" s="5">
        <f>IF(B170&lt;&gt;"",VLOOKUP(B170,Projetos!E:F,2,0),"")</f>
        <v>37</v>
      </c>
      <c r="D170" s="4" t="s">
        <v>11</v>
      </c>
      <c r="E170" s="20">
        <v>16</v>
      </c>
      <c r="F170" s="5" t="s">
        <v>900</v>
      </c>
    </row>
    <row r="171" spans="2:6" hidden="1">
      <c r="B171" s="4" t="s">
        <v>1126</v>
      </c>
      <c r="C171" s="5">
        <f>IF(B171&lt;&gt;"",VLOOKUP(B171,Projetos!E:F,2,0),"")</f>
        <v>37</v>
      </c>
      <c r="D171" s="4" t="s">
        <v>288</v>
      </c>
      <c r="E171" s="20">
        <v>16</v>
      </c>
      <c r="F171" s="5" t="s">
        <v>900</v>
      </c>
    </row>
    <row r="172" spans="2:6" hidden="1">
      <c r="B172" s="4" t="s">
        <v>1126</v>
      </c>
      <c r="C172" s="5">
        <f>IF(B172&lt;&gt;"",VLOOKUP(B172,Projetos!E:F,2,0),"")</f>
        <v>37</v>
      </c>
      <c r="D172" s="4" t="s">
        <v>16</v>
      </c>
      <c r="E172" s="20">
        <v>16</v>
      </c>
      <c r="F172" s="5" t="s">
        <v>900</v>
      </c>
    </row>
    <row r="173" spans="2:6" hidden="1">
      <c r="B173" s="4" t="s">
        <v>1126</v>
      </c>
      <c r="C173" s="5">
        <f>IF(B173&lt;&gt;"",VLOOKUP(B173,Projetos!E:F,2,0),"")</f>
        <v>37</v>
      </c>
      <c r="D173" s="4" t="s">
        <v>316</v>
      </c>
      <c r="E173" s="20">
        <v>16</v>
      </c>
      <c r="F173" s="5" t="s">
        <v>900</v>
      </c>
    </row>
    <row r="174" spans="2:6" hidden="1">
      <c r="B174" s="4" t="s">
        <v>1126</v>
      </c>
      <c r="C174" s="5">
        <f>IF(B174&lt;&gt;"",VLOOKUP(B174,Projetos!E:F,2,0),"")</f>
        <v>37</v>
      </c>
      <c r="D174" s="4" t="s">
        <v>49</v>
      </c>
      <c r="E174" s="20">
        <v>16</v>
      </c>
      <c r="F174" s="5" t="s">
        <v>900</v>
      </c>
    </row>
    <row r="175" spans="2:6" hidden="1">
      <c r="B175" s="4" t="s">
        <v>267</v>
      </c>
      <c r="C175" s="5">
        <f>IF(B175&lt;&gt;"",VLOOKUP(B175,Projetos!E:F,2,0),"")</f>
        <v>38</v>
      </c>
      <c r="D175" s="4" t="s">
        <v>31</v>
      </c>
      <c r="E175" s="20">
        <v>3</v>
      </c>
      <c r="F175" s="5" t="s">
        <v>14</v>
      </c>
    </row>
    <row r="176" spans="2:6" hidden="1">
      <c r="B176" s="4" t="s">
        <v>267</v>
      </c>
      <c r="C176" s="5">
        <f>IF(B176&lt;&gt;"",VLOOKUP(B176,Projetos!E:F,2,0),"")</f>
        <v>38</v>
      </c>
      <c r="D176" s="4" t="s">
        <v>23</v>
      </c>
      <c r="E176" s="20">
        <v>3</v>
      </c>
      <c r="F176" s="5" t="s">
        <v>14</v>
      </c>
    </row>
    <row r="177" spans="2:6" hidden="1">
      <c r="B177" s="4" t="s">
        <v>267</v>
      </c>
      <c r="C177" s="5">
        <f>IF(B177&lt;&gt;"",VLOOKUP(B177,Projetos!E:F,2,0),"")</f>
        <v>38</v>
      </c>
      <c r="D177" s="4" t="s">
        <v>25</v>
      </c>
      <c r="E177" s="20">
        <v>1</v>
      </c>
      <c r="F177" s="5" t="s">
        <v>14</v>
      </c>
    </row>
    <row r="178" spans="2:6" hidden="1">
      <c r="B178" s="4" t="s">
        <v>140</v>
      </c>
      <c r="C178" s="5">
        <f>IF(B178&lt;&gt;"",VLOOKUP(B178,Projetos!E:F,2,0),"")</f>
        <v>39</v>
      </c>
      <c r="D178" s="4" t="s">
        <v>16</v>
      </c>
      <c r="E178" s="20"/>
      <c r="F178" s="5" t="s">
        <v>900</v>
      </c>
    </row>
    <row r="179" spans="2:6" hidden="1">
      <c r="B179" s="4" t="s">
        <v>140</v>
      </c>
      <c r="C179" s="5">
        <f>IF(B179&lt;&gt;"",VLOOKUP(B179,Projetos!E:F,2,0),"")</f>
        <v>39</v>
      </c>
      <c r="D179" s="4" t="s">
        <v>11</v>
      </c>
      <c r="E179" s="20"/>
      <c r="F179" s="5" t="s">
        <v>900</v>
      </c>
    </row>
    <row r="180" spans="2:6" hidden="1">
      <c r="B180" s="4" t="s">
        <v>140</v>
      </c>
      <c r="C180" s="5">
        <f>IF(B180&lt;&gt;"",VLOOKUP(B180,Projetos!E:F,2,0),"")</f>
        <v>39</v>
      </c>
      <c r="D180" s="4" t="s">
        <v>153</v>
      </c>
      <c r="E180" s="20"/>
      <c r="F180" s="5" t="s">
        <v>900</v>
      </c>
    </row>
    <row r="181" spans="2:6" hidden="1">
      <c r="B181" s="4" t="s">
        <v>140</v>
      </c>
      <c r="C181" s="5">
        <f>IF(B181&lt;&gt;"",VLOOKUP(B181,Projetos!E:F,2,0),"")</f>
        <v>39</v>
      </c>
      <c r="D181" s="4" t="s">
        <v>288</v>
      </c>
      <c r="E181" s="20"/>
      <c r="F181" s="5" t="s">
        <v>900</v>
      </c>
    </row>
    <row r="182" spans="2:6" hidden="1">
      <c r="B182" s="4" t="s">
        <v>140</v>
      </c>
      <c r="C182" s="5">
        <f>IF(B182&lt;&gt;"",VLOOKUP(B182,Projetos!E:F,2,0),"")</f>
        <v>39</v>
      </c>
      <c r="D182" s="4" t="s">
        <v>158</v>
      </c>
      <c r="E182" s="20"/>
      <c r="F182" s="5" t="s">
        <v>900</v>
      </c>
    </row>
    <row r="183" spans="2:6" hidden="1">
      <c r="B183" s="4" t="s">
        <v>140</v>
      </c>
      <c r="C183" s="5">
        <f>IF(B183&lt;&gt;"",VLOOKUP(B183,Projetos!E:F,2,0),"")</f>
        <v>39</v>
      </c>
      <c r="D183" s="4" t="s">
        <v>247</v>
      </c>
      <c r="E183" s="20"/>
      <c r="F183" s="5" t="s">
        <v>900</v>
      </c>
    </row>
    <row r="184" spans="2:6" hidden="1">
      <c r="B184" s="4" t="s">
        <v>140</v>
      </c>
      <c r="C184" s="5">
        <f>IF(B184&lt;&gt;"",VLOOKUP(B184,Projetos!E:F,2,0),"")</f>
        <v>39</v>
      </c>
      <c r="D184" s="4" t="s">
        <v>31</v>
      </c>
      <c r="E184" s="20"/>
      <c r="F184" s="5" t="s">
        <v>900</v>
      </c>
    </row>
    <row r="185" spans="2:6" hidden="1">
      <c r="B185" s="4" t="s">
        <v>140</v>
      </c>
      <c r="C185" s="5">
        <f>IF(B185&lt;&gt;"",VLOOKUP(B185,Projetos!E:F,2,0),"")</f>
        <v>39</v>
      </c>
      <c r="D185" s="4" t="s">
        <v>40</v>
      </c>
      <c r="E185" s="20"/>
      <c r="F185" s="5" t="s">
        <v>900</v>
      </c>
    </row>
    <row r="186" spans="2:6" hidden="1">
      <c r="B186" s="4" t="s">
        <v>140</v>
      </c>
      <c r="C186" s="5">
        <f>IF(B186&lt;&gt;"",VLOOKUP(B186,Projetos!E:F,2,0),"")</f>
        <v>39</v>
      </c>
      <c r="D186" s="4" t="s">
        <v>23</v>
      </c>
      <c r="E186" s="20"/>
      <c r="F186" s="5" t="s">
        <v>900</v>
      </c>
    </row>
    <row r="187" spans="2:6" hidden="1">
      <c r="B187" s="4" t="s">
        <v>140</v>
      </c>
      <c r="C187" s="5">
        <f>IF(B187&lt;&gt;"",VLOOKUP(B187,Projetos!E:F,2,0),"")</f>
        <v>39</v>
      </c>
      <c r="D187" s="4" t="s">
        <v>25</v>
      </c>
      <c r="E187" s="20"/>
      <c r="F187" s="5" t="s">
        <v>900</v>
      </c>
    </row>
    <row r="188" spans="2:6" hidden="1">
      <c r="B188" s="4" t="s">
        <v>332</v>
      </c>
      <c r="C188" s="5">
        <f>IF(B188&lt;&gt;"",VLOOKUP(B188,Projetos!E:F,2,0),"")</f>
        <v>44</v>
      </c>
      <c r="D188" s="4" t="s">
        <v>21</v>
      </c>
      <c r="E188" s="20">
        <v>2</v>
      </c>
      <c r="F188" s="5" t="s">
        <v>14</v>
      </c>
    </row>
    <row r="189" spans="2:6" hidden="1">
      <c r="B189" s="4" t="s">
        <v>332</v>
      </c>
      <c r="C189" s="5">
        <f>IF(B189&lt;&gt;"",VLOOKUP(B189,Projetos!E:F,2,0),"")</f>
        <v>44</v>
      </c>
      <c r="D189" s="4" t="s">
        <v>119</v>
      </c>
      <c r="E189" s="20">
        <v>8</v>
      </c>
      <c r="F189" s="5" t="s">
        <v>14</v>
      </c>
    </row>
    <row r="190" spans="2:6" hidden="1">
      <c r="B190" s="4" t="s">
        <v>332</v>
      </c>
      <c r="C190" s="5">
        <f>IF(B190&lt;&gt;"",VLOOKUP(B190,Projetos!E:F,2,0),"")</f>
        <v>44</v>
      </c>
      <c r="D190" s="4" t="s">
        <v>49</v>
      </c>
      <c r="E190" s="20">
        <v>8</v>
      </c>
      <c r="F190" s="5" t="s">
        <v>14</v>
      </c>
    </row>
    <row r="191" spans="2:6" hidden="1">
      <c r="B191" s="4" t="s">
        <v>332</v>
      </c>
      <c r="C191" s="5">
        <f>IF(B191&lt;&gt;"",VLOOKUP(B191,Projetos!E:F,2,0),"")</f>
        <v>44</v>
      </c>
      <c r="D191" s="4" t="s">
        <v>25</v>
      </c>
      <c r="E191" s="20">
        <v>6</v>
      </c>
      <c r="F191" s="5" t="s">
        <v>14</v>
      </c>
    </row>
    <row r="192" spans="2:6" hidden="1">
      <c r="B192" s="4" t="s">
        <v>346</v>
      </c>
      <c r="C192" s="5">
        <f>IF(B192&lt;&gt;"",VLOOKUP(B192,Projetos!E:F,2,0),"")</f>
        <v>45</v>
      </c>
      <c r="D192" s="4" t="s">
        <v>26</v>
      </c>
      <c r="E192" s="20">
        <v>1</v>
      </c>
      <c r="F192" s="5" t="s">
        <v>14</v>
      </c>
    </row>
    <row r="193" spans="2:6" hidden="1">
      <c r="B193" s="4" t="s">
        <v>346</v>
      </c>
      <c r="C193" s="5">
        <f>IF(B193&lt;&gt;"",VLOOKUP(B193,Projetos!E:F,2,0),"")</f>
        <v>45</v>
      </c>
      <c r="D193" s="4" t="s">
        <v>31</v>
      </c>
      <c r="E193" s="20">
        <v>1</v>
      </c>
      <c r="F193" s="5" t="s">
        <v>14</v>
      </c>
    </row>
    <row r="194" spans="2:6" hidden="1">
      <c r="B194" s="4" t="s">
        <v>359</v>
      </c>
      <c r="C194" s="5">
        <f>IF(B194&lt;&gt;"",VLOOKUP(B194,Projetos!E:F,2,0),"")</f>
        <v>46</v>
      </c>
      <c r="D194" s="4" t="s">
        <v>26</v>
      </c>
      <c r="E194" s="20">
        <v>2</v>
      </c>
      <c r="F194" s="5" t="s">
        <v>14</v>
      </c>
    </row>
    <row r="195" spans="2:6" hidden="1">
      <c r="B195" s="4" t="s">
        <v>359</v>
      </c>
      <c r="C195" s="5">
        <f>IF(B195&lt;&gt;"",VLOOKUP(B195,Projetos!E:F,2,0),"")</f>
        <v>46</v>
      </c>
      <c r="D195" s="4" t="s">
        <v>31</v>
      </c>
      <c r="E195" s="20">
        <v>2</v>
      </c>
      <c r="F195" s="5" t="s">
        <v>14</v>
      </c>
    </row>
    <row r="196" spans="2:6" hidden="1">
      <c r="B196" s="4" t="s">
        <v>385</v>
      </c>
      <c r="C196" s="5">
        <f>IF(B196&lt;&gt;"",VLOOKUP(B196,Projetos!E:F,2,0),"")</f>
        <v>48</v>
      </c>
      <c r="D196" s="4" t="s">
        <v>16</v>
      </c>
      <c r="E196" s="20">
        <v>10</v>
      </c>
      <c r="F196" s="5" t="s">
        <v>900</v>
      </c>
    </row>
    <row r="197" spans="2:6" hidden="1">
      <c r="B197" s="4" t="s">
        <v>385</v>
      </c>
      <c r="C197" s="5">
        <f>IF(B197&lt;&gt;"",VLOOKUP(B197,Projetos!E:F,2,0),"")</f>
        <v>48</v>
      </c>
      <c r="D197" s="4" t="s">
        <v>40</v>
      </c>
      <c r="E197" s="20">
        <v>40</v>
      </c>
      <c r="F197" s="5" t="s">
        <v>14</v>
      </c>
    </row>
    <row r="198" spans="2:6" hidden="1">
      <c r="B198" s="4" t="s">
        <v>385</v>
      </c>
      <c r="C198" s="5">
        <f>IF(B198&lt;&gt;"",VLOOKUP(B198,Projetos!E:F,2,0),"")</f>
        <v>48</v>
      </c>
      <c r="D198" s="4" t="s">
        <v>31</v>
      </c>
      <c r="E198" s="20">
        <v>10</v>
      </c>
      <c r="F198" s="5" t="s">
        <v>14</v>
      </c>
    </row>
    <row r="199" spans="2:6" hidden="1">
      <c r="B199" s="4" t="s">
        <v>385</v>
      </c>
      <c r="C199" s="5">
        <f>IF(B199&lt;&gt;"",VLOOKUP(B199,Projetos!E:F,2,0),"")</f>
        <v>48</v>
      </c>
      <c r="D199" s="4" t="s">
        <v>25</v>
      </c>
      <c r="E199" s="20">
        <v>6</v>
      </c>
      <c r="F199" s="5" t="s">
        <v>900</v>
      </c>
    </row>
    <row r="200" spans="2:6" hidden="1">
      <c r="B200" s="4" t="s">
        <v>685</v>
      </c>
      <c r="C200" s="5">
        <f>IF(B200&lt;&gt;"",VLOOKUP(B200,Projetos!E:F,2,0),"")</f>
        <v>53</v>
      </c>
      <c r="D200" s="4" t="s">
        <v>65</v>
      </c>
      <c r="E200" s="20">
        <v>10</v>
      </c>
      <c r="F200" s="5" t="s">
        <v>900</v>
      </c>
    </row>
    <row r="201" spans="2:6" hidden="1">
      <c r="B201" s="4" t="s">
        <v>685</v>
      </c>
      <c r="C201" s="5">
        <f>IF(B201&lt;&gt;"",VLOOKUP(B201,Projetos!E:F,2,0),"")</f>
        <v>53</v>
      </c>
      <c r="D201" s="4" t="s">
        <v>21</v>
      </c>
      <c r="E201" s="20">
        <v>8</v>
      </c>
      <c r="F201" s="5" t="s">
        <v>900</v>
      </c>
    </row>
    <row r="202" spans="2:6" hidden="1">
      <c r="B202" s="4" t="s">
        <v>685</v>
      </c>
      <c r="C202" s="5">
        <f>IF(B202&lt;&gt;"",VLOOKUP(B202,Projetos!E:F,2,0),"")</f>
        <v>53</v>
      </c>
      <c r="D202" s="4" t="s">
        <v>23</v>
      </c>
      <c r="E202" s="20">
        <v>8</v>
      </c>
      <c r="F202" s="5" t="s">
        <v>900</v>
      </c>
    </row>
    <row r="203" spans="2:6" hidden="1">
      <c r="B203" s="4" t="s">
        <v>685</v>
      </c>
      <c r="C203" s="5">
        <f>IF(B203&lt;&gt;"",VLOOKUP(B203,Projetos!E:F,2,0),"")</f>
        <v>53</v>
      </c>
      <c r="D203" s="4" t="s">
        <v>691</v>
      </c>
      <c r="E203" s="20">
        <v>6</v>
      </c>
      <c r="F203" s="5" t="s">
        <v>900</v>
      </c>
    </row>
    <row r="204" spans="2:6" hidden="1">
      <c r="B204" s="4" t="s">
        <v>488</v>
      </c>
      <c r="C204" s="5">
        <f>IF(B204&lt;&gt;"",VLOOKUP(B204,Projetos!E:F,2,0),"")</f>
        <v>50</v>
      </c>
      <c r="D204" s="4" t="s">
        <v>16</v>
      </c>
      <c r="E204" s="20">
        <v>10</v>
      </c>
      <c r="F204" s="5" t="s">
        <v>900</v>
      </c>
    </row>
    <row r="205" spans="2:6" hidden="1">
      <c r="B205" s="4" t="s">
        <v>488</v>
      </c>
      <c r="C205" s="5">
        <f>IF(B205&lt;&gt;"",VLOOKUP(B205,Projetos!E:F,2,0),"")</f>
        <v>50</v>
      </c>
      <c r="D205" s="4" t="s">
        <v>65</v>
      </c>
      <c r="E205" s="20">
        <v>10</v>
      </c>
      <c r="F205" s="5" t="s">
        <v>900</v>
      </c>
    </row>
    <row r="206" spans="2:6" hidden="1">
      <c r="B206" s="4" t="s">
        <v>488</v>
      </c>
      <c r="C206" s="5">
        <f>IF(B206&lt;&gt;"",VLOOKUP(B206,Projetos!E:F,2,0),"")</f>
        <v>50</v>
      </c>
      <c r="D206" s="4" t="s">
        <v>26</v>
      </c>
      <c r="E206" s="20">
        <v>20</v>
      </c>
      <c r="F206" s="5" t="s">
        <v>900</v>
      </c>
    </row>
    <row r="207" spans="2:6" hidden="1">
      <c r="B207" s="4" t="s">
        <v>488</v>
      </c>
      <c r="C207" s="5">
        <f>IF(B207&lt;&gt;"",VLOOKUP(B207,Projetos!E:F,2,0),"")</f>
        <v>50</v>
      </c>
      <c r="D207" s="4" t="s">
        <v>31</v>
      </c>
      <c r="E207" s="20">
        <v>20</v>
      </c>
      <c r="F207" s="5" t="s">
        <v>900</v>
      </c>
    </row>
    <row r="208" spans="2:6" hidden="1">
      <c r="B208" s="4" t="s">
        <v>488</v>
      </c>
      <c r="C208" s="5">
        <f>IF(B208&lt;&gt;"",VLOOKUP(B208,Projetos!E:F,2,0),"")</f>
        <v>50</v>
      </c>
      <c r="D208" s="4" t="s">
        <v>40</v>
      </c>
      <c r="E208" s="20">
        <v>20</v>
      </c>
      <c r="F208" s="5" t="s">
        <v>900</v>
      </c>
    </row>
    <row r="209" spans="2:6" hidden="1">
      <c r="B209" s="4" t="s">
        <v>488</v>
      </c>
      <c r="C209" s="5">
        <f>IF(B209&lt;&gt;"",VLOOKUP(B209,Projetos!E:F,2,0),"")</f>
        <v>50</v>
      </c>
      <c r="D209" s="4" t="s">
        <v>153</v>
      </c>
      <c r="E209" s="20">
        <v>10</v>
      </c>
      <c r="F209" s="5" t="s">
        <v>900</v>
      </c>
    </row>
    <row r="210" spans="2:6" hidden="1">
      <c r="B210" s="4" t="s">
        <v>488</v>
      </c>
      <c r="C210" s="5">
        <f>IF(B210&lt;&gt;"",VLOOKUP(B210,Projetos!E:F,2,0),"")</f>
        <v>50</v>
      </c>
      <c r="D210" s="4" t="s">
        <v>49</v>
      </c>
      <c r="E210" s="20">
        <v>20</v>
      </c>
      <c r="F210" s="5" t="s">
        <v>900</v>
      </c>
    </row>
    <row r="211" spans="2:6" hidden="1">
      <c r="B211" s="4" t="s">
        <v>488</v>
      </c>
      <c r="C211" s="5">
        <f>IF(B211&lt;&gt;"",VLOOKUP(B211,Projetos!E:F,2,0),"")</f>
        <v>50</v>
      </c>
      <c r="D211" s="4" t="s">
        <v>691</v>
      </c>
      <c r="E211" s="20">
        <v>10</v>
      </c>
      <c r="F211" s="5" t="s">
        <v>900</v>
      </c>
    </row>
    <row r="212" spans="2:6" hidden="1">
      <c r="B212" s="4" t="s">
        <v>496</v>
      </c>
      <c r="C212" s="5">
        <f>IF(B212&lt;&gt;"",VLOOKUP(B212,Projetos!E:F,2,0),"")</f>
        <v>51</v>
      </c>
      <c r="D212" s="4" t="s">
        <v>16</v>
      </c>
      <c r="E212" s="20"/>
      <c r="F212" s="5" t="s">
        <v>900</v>
      </c>
    </row>
    <row r="213" spans="2:6" hidden="1">
      <c r="B213" s="4" t="s">
        <v>968</v>
      </c>
      <c r="C213" s="5">
        <f>IF(B213&lt;&gt;"",VLOOKUP(B213,Projetos!E:F,2,0),"")</f>
        <v>57</v>
      </c>
      <c r="D213" s="4" t="s">
        <v>26</v>
      </c>
      <c r="E213" s="20"/>
      <c r="F213" s="5"/>
    </row>
    <row r="214" spans="2:6" hidden="1">
      <c r="B214" s="4" t="s">
        <v>968</v>
      </c>
      <c r="C214" s="5">
        <f>IF(B214&lt;&gt;"",VLOOKUP(B214,Projetos!E:F,2,0),"")</f>
        <v>57</v>
      </c>
      <c r="D214" s="4" t="s">
        <v>31</v>
      </c>
      <c r="E214" s="20"/>
      <c r="F214" s="5"/>
    </row>
    <row r="215" spans="2:6" hidden="1">
      <c r="B215" s="4" t="s">
        <v>968</v>
      </c>
      <c r="C215" s="5">
        <f>IF(B215&lt;&gt;"",VLOOKUP(B215,Projetos!E:F,2,0),"")</f>
        <v>57</v>
      </c>
      <c r="D215" s="4" t="s">
        <v>21</v>
      </c>
      <c r="E215" s="20"/>
      <c r="F215" s="5"/>
    </row>
    <row r="216" spans="2:6" hidden="1">
      <c r="B216" s="4" t="s">
        <v>968</v>
      </c>
      <c r="C216" s="5">
        <f>IF(B216&lt;&gt;"",VLOOKUP(B216,Projetos!E:F,2,0),"")</f>
        <v>57</v>
      </c>
      <c r="D216" s="4" t="s">
        <v>23</v>
      </c>
      <c r="E216" s="20"/>
      <c r="F216" s="5"/>
    </row>
    <row r="217" spans="2:6" hidden="1">
      <c r="B217" s="4" t="s">
        <v>968</v>
      </c>
      <c r="C217" s="5">
        <f>IF(B217&lt;&gt;"",VLOOKUP(B217,Projetos!E:F,2,0),"")</f>
        <v>57</v>
      </c>
      <c r="D217" s="4" t="s">
        <v>49</v>
      </c>
      <c r="E217" s="20"/>
      <c r="F217" s="5"/>
    </row>
    <row r="218" spans="2:6" hidden="1">
      <c r="B218" s="4"/>
      <c r="C218" s="5" t="str">
        <f>IF(B218&lt;&gt;"",VLOOKUP(B218,Projetos!E:F,2,0),"")</f>
        <v/>
      </c>
      <c r="D218" s="4"/>
      <c r="E218" s="20"/>
      <c r="F218" s="5"/>
    </row>
    <row r="219" spans="2:6" hidden="1">
      <c r="B219" s="4"/>
      <c r="C219" s="5" t="str">
        <f>IF(B219&lt;&gt;"",VLOOKUP(B219,Projetos!E:F,2,0),"")</f>
        <v/>
      </c>
      <c r="D219" s="4"/>
      <c r="E219" s="20"/>
      <c r="F219" s="5"/>
    </row>
    <row r="220" spans="2:6" hidden="1">
      <c r="B220" s="4"/>
      <c r="C220" s="5" t="str">
        <f>IF(B220&lt;&gt;"",VLOOKUP(B220,Projetos!E:F,2,0),"")</f>
        <v/>
      </c>
      <c r="D220" s="4"/>
      <c r="E220" s="20"/>
      <c r="F220" s="5"/>
    </row>
    <row r="221" spans="2:6" hidden="1">
      <c r="B221" s="4"/>
      <c r="C221" s="5" t="str">
        <f>IF(B221&lt;&gt;"",VLOOKUP(B221,Projetos!E:F,2,0),"")</f>
        <v/>
      </c>
      <c r="D221" s="4"/>
      <c r="E221" s="20"/>
      <c r="F221" s="5"/>
    </row>
    <row r="222" spans="2:6" hidden="1">
      <c r="B222" s="4"/>
      <c r="C222" s="5" t="str">
        <f>IF(B222&lt;&gt;"",VLOOKUP(B222,Projetos!E:F,2,0),"")</f>
        <v/>
      </c>
      <c r="D222" s="4"/>
      <c r="E222" s="20"/>
      <c r="F222" s="5"/>
    </row>
    <row r="223" spans="2:6" hidden="1">
      <c r="B223" s="4"/>
      <c r="C223" s="5" t="str">
        <f>IF(B223&lt;&gt;"",VLOOKUP(B223,Projetos!E:F,2,0),"")</f>
        <v/>
      </c>
      <c r="D223" s="4"/>
      <c r="E223" s="20"/>
      <c r="F223" s="5"/>
    </row>
    <row r="224" spans="2:6" hidden="1">
      <c r="B224" s="4"/>
      <c r="C224" s="5" t="str">
        <f>IF(B224&lt;&gt;"",VLOOKUP(B224,Projetos!E:F,2,0),"")</f>
        <v/>
      </c>
      <c r="D224" s="4"/>
      <c r="E224" s="20"/>
      <c r="F224" s="5"/>
    </row>
    <row r="225" spans="2:6" hidden="1">
      <c r="B225" s="4"/>
      <c r="C225" s="5" t="str">
        <f>IF(B225&lt;&gt;"",VLOOKUP(B225,Projetos!E:F,2,0),"")</f>
        <v/>
      </c>
      <c r="D225" s="4"/>
      <c r="E225" s="20"/>
      <c r="F225" s="5"/>
    </row>
    <row r="226" spans="2:6" hidden="1">
      <c r="B226" s="4"/>
      <c r="C226" s="5" t="str">
        <f>IF(B226&lt;&gt;"",VLOOKUP(B226,Projetos!E:F,2,0),"")</f>
        <v/>
      </c>
      <c r="D226" s="4"/>
      <c r="E226" s="20"/>
      <c r="F226" s="5"/>
    </row>
    <row r="227" spans="2:6" hidden="1">
      <c r="B227" s="4"/>
      <c r="C227" s="5" t="str">
        <f>IF(B227&lt;&gt;"",VLOOKUP(B227,Projetos!E:F,2,0),"")</f>
        <v/>
      </c>
      <c r="D227" s="4"/>
      <c r="E227" s="20"/>
      <c r="F227" s="5"/>
    </row>
    <row r="228" spans="2:6" hidden="1">
      <c r="B228" s="4"/>
      <c r="C228" s="5" t="str">
        <f>IF(B228&lt;&gt;"",VLOOKUP(B228,Projetos!E:F,2,0),"")</f>
        <v/>
      </c>
      <c r="D228" s="4"/>
      <c r="E228" s="20"/>
      <c r="F228" s="5"/>
    </row>
    <row r="229" spans="2:6" hidden="1">
      <c r="B229" s="4"/>
      <c r="C229" s="5" t="str">
        <f>IF(B229&lt;&gt;"",VLOOKUP(B229,Projetos!E:F,2,0),"")</f>
        <v/>
      </c>
      <c r="D229" s="4"/>
      <c r="E229" s="20"/>
      <c r="F229" s="5"/>
    </row>
    <row r="230" spans="2:6" hidden="1">
      <c r="B230" s="4"/>
      <c r="C230" s="5" t="str">
        <f>IF(B230&lt;&gt;"",VLOOKUP(B230,Projetos!E:F,2,0),"")</f>
        <v/>
      </c>
      <c r="D230" s="4"/>
      <c r="E230" s="20"/>
      <c r="F230" s="5"/>
    </row>
  </sheetData>
  <autoFilter ref="B2:F230" xr:uid="{88DCFFD3-BA4F-44CD-896A-1A37471C30E8}">
    <filterColumn colId="1">
      <filters>
        <filter val="1"/>
      </filters>
    </filterColumn>
  </autoFilter>
  <pageMargins left="0.511811024" right="0.511811024" top="0.78740157499999996" bottom="0.78740157499999996" header="0.31496062000000002" footer="0.31496062000000002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2ED79D0-F8D4-40D6-AB70-B9A82872D668}">
          <x14:formula1>
            <xm:f>Projetos!$E$3:$E$14</xm:f>
          </x14:formula1>
          <xm:sqref>B3:B65</xm:sqref>
        </x14:dataValidation>
        <x14:dataValidation type="list" allowBlank="1" showInputMessage="1" showErrorMessage="1" xr:uid="{A464BEE4-8895-4019-AAA4-4C721BCD5FD8}">
          <x14:formula1>
            <xm:f>'Etapas Macro'!$A$2:$A$11</xm:f>
          </x14:formula1>
          <xm:sqref>D4:D7</xm:sqref>
        </x14:dataValidation>
        <x14:dataValidation type="list" allowBlank="1" showInputMessage="1" showErrorMessage="1" xr:uid="{62E88BD9-958B-44F3-A5C1-753AB15A76C4}">
          <x14:formula1>
            <xm:f>'Etapas Macro'!$A$2:$A$13</xm:f>
          </x14:formula1>
          <xm:sqref>D3 D8:D83 D87:D104 D192:D195</xm:sqref>
        </x14:dataValidation>
        <x14:dataValidation type="list" allowBlank="1" showInputMessage="1" showErrorMessage="1" xr:uid="{2DD0926D-D745-4235-B8F5-53371E652B59}">
          <x14:formula1>
            <xm:f>'Etapas Macro'!$A$2:$A$14</xm:f>
          </x14:formula1>
          <xm:sqref>D84</xm:sqref>
        </x14:dataValidation>
        <x14:dataValidation type="list" allowBlank="1" showInputMessage="1" showErrorMessage="1" xr:uid="{AD585BF3-2A71-49AB-9730-9B209FBD76D8}">
          <x14:formula1>
            <xm:f>'Etapas Macro'!$A$2:$A$15</xm:f>
          </x14:formula1>
          <xm:sqref>D85:D86</xm:sqref>
        </x14:dataValidation>
        <x14:dataValidation type="list" allowBlank="1" showInputMessage="1" showErrorMessage="1" xr:uid="{692E7B44-8C89-4979-8F0E-B6500F5817ED}">
          <x14:formula1>
            <xm:f>'Etapas Macro'!$A$2:$A$19</xm:f>
          </x14:formula1>
          <xm:sqref>D160:D167 D169:D172 D174:D191 K24:K31 K3:K12 D196:D230</xm:sqref>
        </x14:dataValidation>
        <x14:dataValidation type="list" allowBlank="1" showInputMessage="1" showErrorMessage="1" xr:uid="{4B467971-55B8-4CA1-BFCB-1A0083F26775}">
          <x14:formula1>
            <xm:f>'Status do Projeto'!$B$3:$B$6</xm:f>
          </x14:formula1>
          <xm:sqref>F3:F230</xm:sqref>
        </x14:dataValidation>
        <x14:dataValidation type="list" allowBlank="1" showInputMessage="1" showErrorMessage="1" xr:uid="{10007E52-0BD4-4D3C-8FE3-48F06B01AE4F}">
          <x14:formula1>
            <xm:f>Projetos!$E$3:$E$50</xm:f>
          </x14:formula1>
          <xm:sqref>I3:I12 B66:B199</xm:sqref>
        </x14:dataValidation>
        <x14:dataValidation type="list" allowBlank="1" showInputMessage="1" showErrorMessage="1" xr:uid="{E13295B6-2665-4EEF-B37B-8B2445F5A822}">
          <x14:formula1>
            <xm:f>'Etapas Macro'!$A$2:$A$17</xm:f>
          </x14:formula1>
          <xm:sqref>D105:D159</xm:sqref>
        </x14:dataValidation>
        <x14:dataValidation type="list" allowBlank="1" showInputMessage="1" showErrorMessage="1" xr:uid="{2DE944C8-7458-4BA4-AE76-F4BD310EFB9E}">
          <x14:formula1>
            <xm:f>'Etapas Macro'!$A$2:$A$21</xm:f>
          </x14:formula1>
          <xm:sqref>D168 D173</xm:sqref>
        </x14:dataValidation>
        <x14:dataValidation type="list" allowBlank="1" showInputMessage="1" showErrorMessage="1" xr:uid="{79B7B35D-A349-459F-B76B-BD671BF63C94}">
          <x14:formula1>
            <xm:f>Projetos!$E$3:$E$60</xm:f>
          </x14:formula1>
          <xm:sqref>I24:I31 B200:B230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GOMES FERREIRA</dc:creator>
  <cp:keywords/>
  <dc:description/>
  <cp:lastModifiedBy>ELY ANDRE DE MATOS BASTOS</cp:lastModifiedBy>
  <cp:revision/>
  <dcterms:created xsi:type="dcterms:W3CDTF">2024-05-06T18:36:36Z</dcterms:created>
  <dcterms:modified xsi:type="dcterms:W3CDTF">2026-01-07T12:33:08Z</dcterms:modified>
  <cp:category/>
  <cp:contentStatus/>
</cp:coreProperties>
</file>