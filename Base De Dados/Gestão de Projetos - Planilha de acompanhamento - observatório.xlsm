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https://sesigoias-my.sharepoint.com/personal/elybastos_iel_fieg_com_br/Documents/Área de Trabalho/"/>
    </mc:Choice>
  </mc:AlternateContent>
  <xr:revisionPtr revIDLastSave="4395" documentId="8_{2F57F027-5BB1-4BB5-91A3-3EF8DCF9CF26}" xr6:coauthVersionLast="47" xr6:coauthVersionMax="47" xr10:uidLastSave="{29856045-33CA-4B92-A587-AECB258D15C9}"/>
  <bookViews>
    <workbookView xWindow="-28920" yWindow="-1410" windowWidth="29040" windowHeight="15720" firstSheet="8" activeTab="14" xr2:uid="{584A0DAA-0F61-4510-B0D5-ECB3B83A4B06}"/>
  </bookViews>
  <sheets>
    <sheet name="Tabela Hora x Custo Colaborador" sheetId="4" state="hidden" r:id="rId1"/>
    <sheet name="Classe do Projeto" sheetId="8" state="hidden" r:id="rId2"/>
    <sheet name="Cliente Final" sheetId="9" state="hidden" r:id="rId3"/>
    <sheet name="Fontes de Recursos" sheetId="7" state="hidden" r:id="rId4"/>
    <sheet name="Status do Projeto" sheetId="5" state="hidden" r:id="rId5"/>
    <sheet name="Áreas da Demanda" sheetId="6" state="hidden" r:id="rId6"/>
    <sheet name="Etapas Macro" sheetId="3" state="hidden" r:id="rId7"/>
    <sheet name="Planilha1" sheetId="11" state="hidden" r:id="rId8"/>
    <sheet name="Atividades" sheetId="40" r:id="rId9"/>
    <sheet name="Cadastro" sheetId="35" r:id="rId10"/>
    <sheet name="CadastrodeCusto" sheetId="38" r:id="rId11"/>
    <sheet name="BaseAtividades" sheetId="41" r:id="rId12"/>
    <sheet name="Projetos" sheetId="33" r:id="rId13"/>
    <sheet name="BaseCusto" sheetId="32" r:id="rId14"/>
    <sheet name="Auxiliar" sheetId="30" r:id="rId15"/>
    <sheet name="lOGO" sheetId="42" state="hidden" r:id="rId16"/>
  </sheets>
  <definedNames>
    <definedName name="_xlnm._FilterDatabase" localSheetId="14" hidden="1">Auxiliar!$D$1:$F$1</definedName>
    <definedName name="_xleta.NOT" hidden="1" xlm="1">#NAME?</definedName>
    <definedName name="_xleta.PROPER" hidden="1" xlm="1">#NAME?</definedName>
    <definedName name="_xleta.SUM" hidden="1" xlm="1">#NAME?</definedName>
    <definedName name="_xleta.T" hidden="1" xlm="1">#NAME?</definedName>
    <definedName name="DESCRIÇÃO" comment="O que é o relatório?">#REF!</definedName>
    <definedName name="Início_do_projeto">#REF!</definedName>
    <definedName name="Semana_de_exibiçã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38" l="1"/>
  <c r="R24" i="38" s="1"/>
  <c r="Q25" i="38"/>
  <c r="R25" i="38" s="1"/>
  <c r="Q26" i="38"/>
  <c r="R26" i="38" s="1"/>
  <c r="D15" i="40"/>
  <c r="G6" i="38"/>
  <c r="C4" i="40"/>
  <c r="Q27" i="38"/>
  <c r="R27" i="38" s="1"/>
  <c r="F10" i="38"/>
  <c r="P21" i="38"/>
  <c r="R21" i="38" l="1"/>
  <c r="G17" i="38" s="1"/>
  <c r="G18" i="38" l="1"/>
  <c r="G19" i="38" s="1"/>
  <c r="G20" i="3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AE6D1A-048A-449A-8ADB-763082D87390}" keepAlive="1" name="Consulta - Projeto 77" description="Conexão com a consulta 'Projeto 77' na pasta de trabalho." type="5" refreshedVersion="8" background="1" saveData="1">
    <dbPr connection="Provider=Microsoft.Mashup.OleDb.1;Data Source=$Workbook$;Location=&quot;Projeto 77&quot;;Extended Properties=&quot;&quot;" command="SELECT * FROM [Projeto 77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<sst xmlns="http://schemas.openxmlformats.org/spreadsheetml/2006/main" count="473" uniqueCount="188">
  <si>
    <t>Área</t>
  </si>
  <si>
    <t>Nome do Projeto</t>
  </si>
  <si>
    <t>Classe</t>
  </si>
  <si>
    <t>Cliente Final</t>
  </si>
  <si>
    <t>Inteligência de Dados</t>
  </si>
  <si>
    <t>Diego Gomes</t>
  </si>
  <si>
    <t>Finalizado</t>
  </si>
  <si>
    <t>Institucional</t>
  </si>
  <si>
    <t>Atualização</t>
  </si>
  <si>
    <t>OBSERVATORIO</t>
  </si>
  <si>
    <t>Em andamento</t>
  </si>
  <si>
    <t>Inteligência Competitiva</t>
  </si>
  <si>
    <t>Ely Bastos</t>
  </si>
  <si>
    <t>Pesquisa</t>
  </si>
  <si>
    <t>IEL - PDF</t>
  </si>
  <si>
    <t>FIEG</t>
  </si>
  <si>
    <t xml:space="preserve">Banco de Dados </t>
  </si>
  <si>
    <t>SINDICATOS</t>
  </si>
  <si>
    <t>IEL - MERCADO</t>
  </si>
  <si>
    <t>IEL - SUPERINTENDÊNCIA</t>
  </si>
  <si>
    <t>Inteligência de Mercado</t>
  </si>
  <si>
    <t>Bruno Felipe</t>
  </si>
  <si>
    <t>Estudo</t>
  </si>
  <si>
    <t>Parado</t>
  </si>
  <si>
    <t>Alexandre Borges</t>
  </si>
  <si>
    <t>Marcus Vinícius</t>
  </si>
  <si>
    <t>Rodolfo Viscal</t>
  </si>
  <si>
    <t>Gestão</t>
  </si>
  <si>
    <t>Painel</t>
  </si>
  <si>
    <t>Mercado</t>
  </si>
  <si>
    <t>MERCADO</t>
  </si>
  <si>
    <t>Planejamento</t>
  </si>
  <si>
    <t>Isadora Pereira</t>
  </si>
  <si>
    <t>Paulo Vinicius</t>
  </si>
  <si>
    <t>SESI</t>
  </si>
  <si>
    <t>Sandra Marcia</t>
  </si>
  <si>
    <t>Não Iniciado</t>
  </si>
  <si>
    <t>Planejamento do Projeto</t>
  </si>
  <si>
    <t>Luis Eduardo</t>
  </si>
  <si>
    <t>Reunião</t>
  </si>
  <si>
    <t>Estruturação do Projeto</t>
  </si>
  <si>
    <t>Relatório</t>
  </si>
  <si>
    <t>Validação</t>
  </si>
  <si>
    <t>Extração de Dados</t>
  </si>
  <si>
    <t>Tratamento de Dados</t>
  </si>
  <si>
    <t>Alteração/Ajustes</t>
  </si>
  <si>
    <t>Identificação de Indicadores</t>
  </si>
  <si>
    <t xml:space="preserve">Tratamento de dados </t>
  </si>
  <si>
    <t>Proposta / Contrato</t>
  </si>
  <si>
    <t>Coleta</t>
  </si>
  <si>
    <t>Fernanda Heleno</t>
  </si>
  <si>
    <t>Capacitação</t>
  </si>
  <si>
    <t>Tabulação</t>
  </si>
  <si>
    <t>Diagnóstico</t>
  </si>
  <si>
    <t>Implementação</t>
  </si>
  <si>
    <t>Elaboração da Proposta</t>
  </si>
  <si>
    <t xml:space="preserve">Validação do projeto com a gerência </t>
  </si>
  <si>
    <t>Estruturar Modelo de Relatório</t>
  </si>
  <si>
    <t>Antônio Guido</t>
  </si>
  <si>
    <t>Artur Marcon</t>
  </si>
  <si>
    <t>Apresentação/Entrega</t>
  </si>
  <si>
    <t>Monitoramento</t>
  </si>
  <si>
    <t>Ajustes no Relatório</t>
  </si>
  <si>
    <t>COD</t>
  </si>
  <si>
    <t>Modelo de Contrato</t>
  </si>
  <si>
    <t>Colaboradores</t>
  </si>
  <si>
    <t>Função</t>
  </si>
  <si>
    <t>Carga horário diária</t>
  </si>
  <si>
    <t>Carga horário Mensal</t>
  </si>
  <si>
    <t>Valor Hora (R$)</t>
  </si>
  <si>
    <t>CLT</t>
  </si>
  <si>
    <t>Gerente</t>
  </si>
  <si>
    <t>Cientista de Dados</t>
  </si>
  <si>
    <t>Engenheiro de Dados</t>
  </si>
  <si>
    <t>Prestador</t>
  </si>
  <si>
    <t>Analista de BI</t>
  </si>
  <si>
    <t>Estagiário de T.I</t>
  </si>
  <si>
    <t>Analista de Pesquisa</t>
  </si>
  <si>
    <t>Analista de Relatório</t>
  </si>
  <si>
    <t>Estagiário</t>
  </si>
  <si>
    <t>Estagiário de Economia</t>
  </si>
  <si>
    <t>Nicoly Pacheco</t>
  </si>
  <si>
    <t>Estagiária de Economia</t>
  </si>
  <si>
    <t>Assistente de Dados</t>
  </si>
  <si>
    <t>Assistente de Projetos</t>
  </si>
  <si>
    <t>Correção</t>
  </si>
  <si>
    <t>IEL - APRENDIZ</t>
  </si>
  <si>
    <t>SENAI</t>
  </si>
  <si>
    <t>Fonte do Recurso</t>
  </si>
  <si>
    <t>Status</t>
  </si>
  <si>
    <t>Etapas Macro</t>
  </si>
  <si>
    <t>1</t>
  </si>
  <si>
    <t>O23</t>
  </si>
  <si>
    <t>Etapa</t>
  </si>
  <si>
    <t>Responsável</t>
  </si>
  <si>
    <t>A - Planejamento</t>
  </si>
  <si>
    <t>Coordenadora de Campo</t>
  </si>
  <si>
    <t>Analista de  Estudos e Pesquisas</t>
  </si>
  <si>
    <t xml:space="preserve">Elaboração da Planilha de Custo </t>
  </si>
  <si>
    <t>Reunião de alinhamento com a equipe sobre o projeto</t>
  </si>
  <si>
    <t>Reuniões de alinhamento com o cliente</t>
  </si>
  <si>
    <t>B - Pesquisa Secundária</t>
  </si>
  <si>
    <t>Estruturação do Banco</t>
  </si>
  <si>
    <t>Estruturação da Planilha e correções pontuais</t>
  </si>
  <si>
    <t>Correções e Ajustes</t>
  </si>
  <si>
    <t>C - Pesquisa Primária</t>
  </si>
  <si>
    <t>Elaboração e ajustes do Questionário</t>
  </si>
  <si>
    <t>Validação do Questionário</t>
  </si>
  <si>
    <t>Acompanhamento da coleta</t>
  </si>
  <si>
    <t>E - Relatório</t>
  </si>
  <si>
    <t>Análise dos Dados</t>
  </si>
  <si>
    <t>Elaboração do relatório Geral</t>
  </si>
  <si>
    <t>Auxiliar na Análise dos Dados</t>
  </si>
  <si>
    <t xml:space="preserve">Auxilar na Elaboração do Relatório </t>
  </si>
  <si>
    <t>Revisão da Gerência nos Relatórios</t>
  </si>
  <si>
    <t>H - Apresentação dos Resultados</t>
  </si>
  <si>
    <t>Cargo</t>
  </si>
  <si>
    <t>Horas Previstas</t>
  </si>
  <si>
    <t>Valor da Hora</t>
  </si>
  <si>
    <t xml:space="preserve"> 383 comunidade -  presencial</t>
  </si>
  <si>
    <t xml:space="preserve">Inteligência de Dados  </t>
  </si>
  <si>
    <t xml:space="preserve"> 350 RH - telefone </t>
  </si>
  <si>
    <t>Alessandra Erika</t>
  </si>
  <si>
    <t>Consultora</t>
  </si>
  <si>
    <t xml:space="preserve">100  concorrência - telefone </t>
  </si>
  <si>
    <t>Gerência</t>
  </si>
  <si>
    <t>D - Pesquisa Primária (Terceiros)</t>
  </si>
  <si>
    <t>PDF</t>
  </si>
  <si>
    <t>Consultoria</t>
  </si>
  <si>
    <t>F - Elaboração do Painel em BI</t>
  </si>
  <si>
    <t>Wenes Duarte</t>
  </si>
  <si>
    <t>Analista PDF</t>
  </si>
  <si>
    <t>G - Benchmarking</t>
  </si>
  <si>
    <t>Analista de TI</t>
  </si>
  <si>
    <t>Isadora Gonçalves</t>
  </si>
  <si>
    <t>Assistente Administrativo</t>
  </si>
  <si>
    <t>Irysllene Torres</t>
  </si>
  <si>
    <t>Bruna Nunes</t>
  </si>
  <si>
    <t xml:space="preserve">Digitação dos questionários </t>
  </si>
  <si>
    <t>Revisão Ortográfica do Relatório</t>
  </si>
  <si>
    <t>Número (ID)</t>
  </si>
  <si>
    <t>CLÍNICA DE MULTIATENDIMENTOS DO SESI EM RIO VERDE</t>
  </si>
  <si>
    <t xml:space="preserve">Valor da Hora </t>
  </si>
  <si>
    <t xml:space="preserve">Custo Total Previsto </t>
  </si>
  <si>
    <t>Cliente</t>
  </si>
  <si>
    <t>CNPJ/CPF</t>
  </si>
  <si>
    <t>Nº do Projeto</t>
  </si>
  <si>
    <t>Código (ID)</t>
  </si>
  <si>
    <t>Área de Atendimento</t>
  </si>
  <si>
    <t>Data de Lançamento</t>
  </si>
  <si>
    <t>Número do Projeto</t>
  </si>
  <si>
    <t>CNPJ ou CPF</t>
  </si>
  <si>
    <t>Objeto da Proposta</t>
  </si>
  <si>
    <t>Gerente do Projeto</t>
  </si>
  <si>
    <t>Fase</t>
  </si>
  <si>
    <t>Cadastro de Novo Cliente</t>
  </si>
  <si>
    <t>Sistema de Gerenciamento de Projetos</t>
  </si>
  <si>
    <t>Reserva Técnica</t>
  </si>
  <si>
    <t>Margem</t>
  </si>
  <si>
    <t>Resumo Geral do Custo</t>
  </si>
  <si>
    <t>Custo</t>
  </si>
  <si>
    <t>-</t>
  </si>
  <si>
    <t>Valor da Proposta</t>
  </si>
  <si>
    <t>Custo 3º</t>
  </si>
  <si>
    <t>Cadastro de Custo com Terceiros</t>
  </si>
  <si>
    <t>Cadastro de Custo Interno</t>
  </si>
  <si>
    <t>Terceiro</t>
  </si>
  <si>
    <t>Custo (Inclui 3º)</t>
  </si>
  <si>
    <t>Descrição</t>
  </si>
  <si>
    <t>Desconto (valor)</t>
  </si>
  <si>
    <t>Nº do Projeto Atual</t>
  </si>
  <si>
    <t>Nome</t>
  </si>
  <si>
    <t>Levantamento de Informações para verificar a viabilidade de instalação 
de Clínica de Multiatendimentos de Saúde do SESI em Rio Verde</t>
  </si>
  <si>
    <t>.</t>
  </si>
  <si>
    <t>Cadastro de Atividades</t>
  </si>
  <si>
    <t>Horas Realizadas</t>
  </si>
  <si>
    <t>Observação</t>
  </si>
  <si>
    <t>Nome do Projeto Selecionado</t>
  </si>
  <si>
    <t>Fase não Prevista</t>
  </si>
  <si>
    <t>➤ Fase do Projeto</t>
  </si>
  <si>
    <t>➤ Áreas</t>
  </si>
  <si>
    <t>➤ Etapas</t>
  </si>
  <si>
    <t>➤ Nome da Pesquisa</t>
  </si>
  <si>
    <t>➤ Nome do Integrante</t>
  </si>
  <si>
    <t>➤ Nome do Projeto</t>
  </si>
  <si>
    <t>Clínica de Multiatendimentos SESI Rio Verde</t>
  </si>
  <si>
    <t>SESI Goiás</t>
  </si>
  <si>
    <t>Reunião com o cliente 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</si>
</sst>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00\.000\.000\/0000\-00"/>
  </numFmts>
  <fonts count="2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sz val="8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i/>
      <sz val="12"/>
      <color theme="0"/>
      <name val="Aptos Narrow"/>
      <family val="2"/>
      <scheme val="minor"/>
    </font>
    <font>
      <sz val="9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sz val="8"/>
      <color theme="4" tint="0.79998168889431442"/>
      <name val="Aptos Narrow"/>
      <family val="2"/>
      <scheme val="minor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 style="thin">
        <color theme="0"/>
      </right>
      <top style="thin">
        <color rgb="FF0070C0"/>
      </top>
      <bottom style="thin">
        <color theme="0"/>
      </bottom>
      <diagonal/>
    </border>
    <border>
      <left style="thin">
        <color rgb="FF0070C0"/>
      </left>
      <right style="thin">
        <color theme="0"/>
      </right>
      <top style="thin">
        <color theme="0"/>
      </top>
      <bottom style="thin">
        <color rgb="FF0070C0"/>
      </bottom>
      <diagonal/>
    </border>
    <border>
      <left style="thin">
        <color theme="0"/>
      </left>
      <right style="thin">
        <color rgb="FF0070C0"/>
      </right>
      <top style="thin">
        <color rgb="FF0070C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/>
      </left>
      <right style="thin">
        <color rgb="FF0070C0"/>
      </right>
      <top style="thin">
        <color theme="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theme="0"/>
      </bottom>
      <diagonal/>
    </border>
    <border>
      <left style="thin">
        <color theme="0"/>
      </left>
      <right style="thin">
        <color rgb="FF0070C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70C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70C0"/>
      </right>
      <top style="thin">
        <color theme="0" tint="-0.14999847407452621"/>
      </top>
      <bottom style="thin">
        <color rgb="FF0070C0"/>
      </bottom>
      <diagonal/>
    </border>
    <border>
      <left style="thin">
        <color theme="0" tint="-0.14999847407452621"/>
      </left>
      <right style="thin">
        <color rgb="FF0070C0"/>
      </right>
      <top style="thin">
        <color rgb="FF0070C0"/>
      </top>
      <bottom style="thin">
        <color theme="0" tint="-0.14999847407452621"/>
      </bottom>
      <diagonal/>
    </border>
    <border>
      <left style="thin">
        <color rgb="FF0070C0"/>
      </left>
      <right style="thin">
        <color theme="0" tint="-0.14999847407452621"/>
      </right>
      <top style="thin">
        <color rgb="FF0070C0"/>
      </top>
      <bottom style="thin">
        <color theme="0" tint="-0.14999847407452621"/>
      </bottom>
      <diagonal/>
    </border>
    <border>
      <left style="thin">
        <color rgb="FF0070C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70C0"/>
      </left>
      <right style="thin">
        <color theme="0" tint="-0.14999847407452621"/>
      </right>
      <top style="thin">
        <color theme="0" tint="-0.14999847407452621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rgb="FF0070C0"/>
      </left>
      <right style="thin">
        <color theme="2" tint="-9.9978637043366805E-2"/>
      </right>
      <top/>
      <bottom style="thin">
        <color rgb="FF0070C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70C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70C0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44" fontId="0" fillId="0" borderId="1" xfId="1" applyFont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3" fillId="0" borderId="0" xfId="0" applyFont="1"/>
    <xf numFmtId="0" fontId="4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44" fontId="0" fillId="0" borderId="4" xfId="1" applyFon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0" borderId="0" xfId="0" applyFont="1" applyAlignment="1">
      <alignment horizontal="left" vertical="center" indent="1"/>
    </xf>
    <xf numFmtId="10" fontId="16" fillId="0" borderId="0" xfId="4" applyNumberFormat="1" applyFont="1" applyFill="1" applyBorder="1" applyAlignment="1">
      <alignment horizontal="left" vertical="center" indent="1"/>
    </xf>
    <xf numFmtId="165" fontId="0" fillId="0" borderId="0" xfId="0" applyNumberFormat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3" xfId="0" applyFont="1" applyBorder="1" applyAlignment="1">
      <alignment vertical="center"/>
    </xf>
    <xf numFmtId="0" fontId="6" fillId="0" borderId="13" xfId="0" applyFont="1" applyBorder="1" applyAlignment="1">
      <alignment horizontal="center" vertical="center" wrapText="1"/>
    </xf>
    <xf numFmtId="0" fontId="11" fillId="3" borderId="13" xfId="0" applyFont="1" applyFill="1" applyBorder="1" applyAlignment="1">
      <alignment vertical="center"/>
    </xf>
    <xf numFmtId="0" fontId="11" fillId="6" borderId="0" xfId="0" applyFont="1" applyFill="1" applyAlignment="1">
      <alignment vertical="center"/>
    </xf>
    <xf numFmtId="0" fontId="6" fillId="6" borderId="0" xfId="0" applyFont="1" applyFill="1" applyAlignment="1">
      <alignment vertical="center" wrapText="1"/>
    </xf>
    <xf numFmtId="0" fontId="11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0" fontId="6" fillId="6" borderId="0" xfId="0" applyFont="1" applyFill="1" applyAlignment="1">
      <alignment horizontal="center" vertical="center" wrapText="1"/>
    </xf>
    <xf numFmtId="0" fontId="0" fillId="7" borderId="8" xfId="0" applyFill="1" applyBorder="1" applyAlignment="1">
      <alignment vertical="center"/>
    </xf>
    <xf numFmtId="0" fontId="11" fillId="3" borderId="10" xfId="0" applyFont="1" applyFill="1" applyBorder="1" applyAlignment="1">
      <alignment vertical="center"/>
    </xf>
    <xf numFmtId="0" fontId="19" fillId="7" borderId="8" xfId="0" applyFont="1" applyFill="1" applyBorder="1" applyAlignment="1">
      <alignment vertical="center"/>
    </xf>
    <xf numFmtId="0" fontId="20" fillId="7" borderId="8" xfId="0" applyFont="1" applyFill="1" applyBorder="1" applyAlignment="1">
      <alignment horizontal="left" vertical="center"/>
    </xf>
    <xf numFmtId="0" fontId="17" fillId="0" borderId="18" xfId="0" applyFont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164" fontId="11" fillId="4" borderId="22" xfId="0" applyNumberFormat="1" applyFont="1" applyFill="1" applyBorder="1" applyAlignment="1">
      <alignment horizontal="center" vertical="center"/>
    </xf>
    <xf numFmtId="164" fontId="11" fillId="6" borderId="20" xfId="0" applyNumberFormat="1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left" vertical="center" indent="1"/>
    </xf>
    <xf numFmtId="0" fontId="12" fillId="6" borderId="9" xfId="0" applyFont="1" applyFill="1" applyBorder="1" applyAlignment="1">
      <alignment horizontal="left" vertical="center" indent="1"/>
    </xf>
    <xf numFmtId="0" fontId="12" fillId="6" borderId="15" xfId="0" applyFont="1" applyFill="1" applyBorder="1" applyAlignment="1">
      <alignment horizontal="left" vertical="center" indent="1"/>
    </xf>
    <xf numFmtId="0" fontId="17" fillId="0" borderId="23" xfId="0" applyFont="1" applyBorder="1" applyAlignment="1">
      <alignment horizontal="center" vertical="center"/>
    </xf>
    <xf numFmtId="164" fontId="11" fillId="6" borderId="22" xfId="0" applyNumberFormat="1" applyFont="1" applyFill="1" applyBorder="1" applyAlignment="1">
      <alignment horizontal="center" vertical="center"/>
    </xf>
    <xf numFmtId="0" fontId="21" fillId="0" borderId="24" xfId="0" applyFont="1" applyBorder="1" applyAlignment="1">
      <alignment horizontal="left" vertical="center" indent="1"/>
    </xf>
    <xf numFmtId="0" fontId="18" fillId="0" borderId="25" xfId="0" applyFont="1" applyBorder="1" applyAlignment="1">
      <alignment horizontal="left" vertical="center" indent="1"/>
    </xf>
    <xf numFmtId="0" fontId="15" fillId="3" borderId="28" xfId="0" applyFont="1" applyFill="1" applyBorder="1" applyAlignment="1">
      <alignment horizontal="left" vertical="center" indent="1"/>
    </xf>
    <xf numFmtId="0" fontId="15" fillId="3" borderId="29" xfId="0" applyFont="1" applyFill="1" applyBorder="1" applyAlignment="1">
      <alignment horizontal="left" vertical="center" indent="1"/>
    </xf>
    <xf numFmtId="0" fontId="17" fillId="0" borderId="19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8" fillId="0" borderId="25" xfId="0" applyNumberFormat="1" applyFont="1" applyBorder="1" applyAlignment="1">
      <alignment horizontal="left" vertical="center" indent="1"/>
    </xf>
    <xf numFmtId="0" fontId="15" fillId="8" borderId="17" xfId="0" applyFont="1" applyFill="1" applyBorder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15" fillId="3" borderId="27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center" vertical="center"/>
    </xf>
    <xf numFmtId="0" fontId="15" fillId="3" borderId="28" xfId="0" applyFont="1" applyFill="1" applyBorder="1" applyAlignment="1">
      <alignment horizontal="center" vertical="center"/>
    </xf>
    <xf numFmtId="0" fontId="15" fillId="3" borderId="24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7" fontId="17" fillId="0" borderId="0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7" fontId="0" fillId="0" borderId="0" xfId="0" applyNumberFormat="1" applyFill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21" fillId="9" borderId="30" xfId="0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5" fillId="3" borderId="31" xfId="0" applyFont="1" applyFill="1" applyBorder="1" applyAlignment="1">
      <alignment horizontal="center" vertical="center"/>
    </xf>
    <xf numFmtId="0" fontId="15" fillId="3" borderId="32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9" fontId="11" fillId="9" borderId="16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9" fontId="11" fillId="9" borderId="22" xfId="0" applyNumberFormat="1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164" fontId="11" fillId="9" borderId="20" xfId="0" applyNumberFormat="1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left" vertical="center" wrapText="1" indent="1"/>
    </xf>
    <xf numFmtId="0" fontId="11" fillId="6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 wrapText="1"/>
    </xf>
    <xf numFmtId="0" fontId="6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vertical="center"/>
    </xf>
    <xf numFmtId="0" fontId="18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 wrapText="1"/>
    </xf>
    <xf numFmtId="0" fontId="11" fillId="6" borderId="0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0" fontId="0" fillId="7" borderId="0" xfId="0" applyFill="1" applyBorder="1" applyAlignment="1">
      <alignment vertical="center"/>
    </xf>
    <xf numFmtId="0" fontId="20" fillId="7" borderId="0" xfId="0" applyFont="1" applyFill="1" applyBorder="1" applyAlignment="1">
      <alignment horizontal="left" vertical="center"/>
    </xf>
    <xf numFmtId="0" fontId="19" fillId="7" borderId="0" xfId="0" applyFont="1" applyFill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11" fillId="3" borderId="0" xfId="0" applyFont="1" applyFill="1" applyBorder="1" applyAlignment="1">
      <alignment vertical="center"/>
    </xf>
    <xf numFmtId="0" fontId="23" fillId="6" borderId="0" xfId="0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17" fillId="0" borderId="17" xfId="0" applyFont="1" applyBorder="1" applyAlignment="1">
      <alignment horizontal="left" vertical="center" indent="1"/>
    </xf>
    <xf numFmtId="165" fontId="17" fillId="0" borderId="17" xfId="0" applyNumberFormat="1" applyFont="1" applyBorder="1" applyAlignment="1">
      <alignment horizontal="left" vertical="center" indent="1"/>
    </xf>
    <xf numFmtId="14" fontId="17" fillId="0" borderId="17" xfId="0" applyNumberFormat="1" applyFont="1" applyBorder="1" applyAlignment="1">
      <alignment horizontal="left" vertical="center" indent="1"/>
    </xf>
    <xf numFmtId="0" fontId="15" fillId="3" borderId="33" xfId="0" applyFont="1" applyFill="1" applyBorder="1" applyAlignment="1">
      <alignment horizontal="center" vertical="center"/>
    </xf>
    <xf numFmtId="0" fontId="17" fillId="0" borderId="24" xfId="0" applyFont="1" applyBorder="1" applyAlignment="1">
      <alignment horizontal="left" vertical="center" indent="1"/>
    </xf>
    <xf numFmtId="165" fontId="17" fillId="0" borderId="24" xfId="0" applyNumberFormat="1" applyFont="1" applyBorder="1" applyAlignment="1">
      <alignment horizontal="left" vertical="center" indent="1"/>
    </xf>
    <xf numFmtId="14" fontId="17" fillId="0" borderId="24" xfId="0" applyNumberFormat="1" applyFont="1" applyBorder="1" applyAlignment="1">
      <alignment horizontal="left" vertical="center" indent="1"/>
    </xf>
    <xf numFmtId="14" fontId="17" fillId="0" borderId="34" xfId="0" applyNumberFormat="1" applyFont="1" applyBorder="1" applyAlignment="1">
      <alignment horizontal="left" vertical="center" indent="1"/>
    </xf>
    <xf numFmtId="14" fontId="17" fillId="0" borderId="25" xfId="0" applyNumberFormat="1" applyFont="1" applyBorder="1" applyAlignment="1">
      <alignment horizontal="left" vertical="center" indent="1"/>
    </xf>
    <xf numFmtId="0" fontId="22" fillId="3" borderId="11" xfId="0" applyFont="1" applyFill="1" applyBorder="1" applyAlignment="1">
      <alignment horizontal="center" vertical="center"/>
    </xf>
    <xf numFmtId="0" fontId="22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11" fillId="10" borderId="10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7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/>
    <xf numFmtId="0" fontId="17" fillId="0" borderId="34" xfId="0" applyFont="1" applyBorder="1" applyAlignment="1">
      <alignment horizontal="left" vertical="center" indent="1"/>
    </xf>
    <xf numFmtId="0" fontId="17" fillId="0" borderId="25" xfId="0" applyFont="1" applyBorder="1" applyAlignment="1">
      <alignment horizontal="left" vertical="center" indent="1"/>
    </xf>
    <xf numFmtId="0" fontId="15" fillId="0" borderId="18" xfId="0" applyFont="1" applyFill="1" applyBorder="1" applyAlignment="1">
      <alignment horizontal="center" vertical="center"/>
    </xf>
    <xf numFmtId="164" fontId="15" fillId="0" borderId="1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164" fontId="0" fillId="0" borderId="0" xfId="0" applyNumberFormat="1" applyFill="1" applyAlignment="1">
      <alignment horizontal="left"/>
    </xf>
  </cellXfs>
  <cellStyles count="5">
    <cellStyle name="Moeda" xfId="1" builtinId="4"/>
    <cellStyle name="Moeda 2" xfId="2" xr:uid="{CF7B1193-B5CB-48F9-B559-93B24D2826AA}"/>
    <cellStyle name="Moeda 3" xfId="3" xr:uid="{EDA2A2FF-DADD-4890-B387-51F5BB63FCD5}"/>
    <cellStyle name="Normal" xfId="0" builtinId="0"/>
    <cellStyle name="Porcentagem" xfId="4" builtinId="5"/>
  </cellStyles>
  <dxfs count="88">
    <dxf>
      <font>
        <b/>
        <i val="0"/>
      </font>
      <fill>
        <patternFill>
          <bgColor rgb="FFFF818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0\.000\.000\/0000\-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&quot;R$&quot;\ #,##0.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&quot;R$&quot;\ #,##0.0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2" tint="-9.9978637043366805E-2"/>
        </top>
      </border>
    </dxf>
    <dxf>
      <border outline="0">
        <top style="thin">
          <color indexed="64"/>
        </top>
      </border>
    </dxf>
    <dxf>
      <border outline="0">
        <bottom style="thin">
          <color theme="7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164" formatCode="&quot;R$&quot;\ 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1" formatCode="&quot;R$&quot;\ #,##0.00;\-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0" tint="-0.149998474074526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181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Cadastro!A1"/><Relationship Id="rId1" Type="http://schemas.openxmlformats.org/officeDocument/2006/relationships/hyperlink" Target="#Atividad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adastrodeCusto!A1"/><Relationship Id="rId2" Type="http://schemas.openxmlformats.org/officeDocument/2006/relationships/hyperlink" Target="#Cadastro!A1"/><Relationship Id="rId1" Type="http://schemas.openxmlformats.org/officeDocument/2006/relationships/hyperlink" Target="#Atividad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dastro!A1"/><Relationship Id="rId2" Type="http://schemas.openxmlformats.org/officeDocument/2006/relationships/hyperlink" Target="#CadastrodeCusto!A1"/><Relationship Id="rId1" Type="http://schemas.openxmlformats.org/officeDocument/2006/relationships/hyperlink" Target="#Atividades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16384</xdr:col>
      <xdr:colOff>606382</xdr:colOff>
      <xdr:row>1048576</xdr:row>
      <xdr:rowOff>179023</xdr:rowOff>
    </xdr:from>
    <xdr:to>
      <xdr:col>16384</xdr:col>
      <xdr:colOff>607386</xdr:colOff>
      <xdr:row>1048576</xdr:row>
      <xdr:rowOff>179023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4AE00F5D-1AA7-4225-8342-B7016621C828}"/>
            </a:ext>
          </a:extLst>
        </xdr:cNvPr>
        <xdr:cNvSpPr/>
      </xdr:nvSpPr>
      <xdr:spPr>
        <a:xfrm>
          <a:off x="14338257" y="4684348"/>
          <a:ext cx="12631154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0</xdr:colOff>
      <xdr:row>14</xdr:row>
      <xdr:rowOff>1</xdr:rowOff>
    </xdr:from>
    <xdr:to>
      <xdr:col>2</xdr:col>
      <xdr:colOff>1315611</xdr:colOff>
      <xdr:row>15</xdr:row>
      <xdr:rowOff>170794</xdr:rowOff>
    </xdr:to>
    <xdr:sp macro="[0]!Atividades" textlink="">
      <xdr:nvSpPr>
        <xdr:cNvPr id="18" name="Retângulo 17">
          <a:extLst>
            <a:ext uri="{FF2B5EF4-FFF2-40B4-BE49-F238E27FC236}">
              <a16:creationId xmlns:a16="http://schemas.microsoft.com/office/drawing/2014/main" id="{91E87107-3001-BCB8-B86C-5F065CBFB5A0}"/>
            </a:ext>
          </a:extLst>
        </xdr:cNvPr>
        <xdr:cNvSpPr/>
      </xdr:nvSpPr>
      <xdr:spPr>
        <a:xfrm>
          <a:off x="2349500" y="2965451"/>
          <a:ext cx="1315611" cy="361293"/>
        </a:xfrm>
        <a:prstGeom prst="rect">
          <a:avLst/>
        </a:prstGeom>
        <a:solidFill>
          <a:srgbClr val="00B05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 i="1">
              <a:solidFill>
                <a:schemeClr val="bg1"/>
              </a:solidFill>
            </a:rPr>
            <a:t>Registrar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1</xdr:colOff>
      <xdr:row>15</xdr:row>
      <xdr:rowOff>79663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F4D4AD3B-13F4-403C-AC7E-6284B1B3ACDA}"/>
            </a:ext>
          </a:extLst>
        </xdr:cNvPr>
        <xdr:cNvGrpSpPr/>
      </xdr:nvGrpSpPr>
      <xdr:grpSpPr>
        <a:xfrm>
          <a:off x="0" y="508000"/>
          <a:ext cx="2165351" cy="2727613"/>
          <a:chOff x="0" y="506329"/>
          <a:chExt cx="2160672" cy="2255920"/>
        </a:xfrm>
      </xdr:grpSpPr>
      <xdr:sp macro="" textlink="">
        <xdr:nvSpPr>
          <xdr:cNvPr id="22" name="Retângulo 2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BB9A0F3-426F-FFAB-9060-7C4E2A6B48A8}"/>
              </a:ext>
            </a:extLst>
          </xdr:cNvPr>
          <xdr:cNvSpPr/>
        </xdr:nvSpPr>
        <xdr:spPr>
          <a:xfrm>
            <a:off x="0" y="506329"/>
            <a:ext cx="2160671" cy="360947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rgbClr val="0070C0"/>
                </a:solidFill>
              </a:rPr>
              <a:t>Atividades Diárias</a:t>
            </a:r>
          </a:p>
        </xdr:txBody>
      </xdr:sp>
      <xdr:sp macro="" textlink="">
        <xdr:nvSpPr>
          <xdr:cNvPr id="23" name="Retângulo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E2828F6-CD2E-545E-3A6C-2A5CED786435}"/>
              </a:ext>
            </a:extLst>
          </xdr:cNvPr>
          <xdr:cNvSpPr/>
        </xdr:nvSpPr>
        <xdr:spPr>
          <a:xfrm>
            <a:off x="5253" y="867277"/>
            <a:ext cx="2155418" cy="370973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chemeClr val="bg1"/>
                </a:solidFill>
              </a:rPr>
              <a:t>Inteligência Competitiva</a:t>
            </a:r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3E3A7BD-C13B-5AA6-61E2-910D3D4B8F0D}"/>
              </a:ext>
            </a:extLst>
          </xdr:cNvPr>
          <xdr:cNvSpPr/>
        </xdr:nvSpPr>
        <xdr:spPr>
          <a:xfrm>
            <a:off x="7882" y="1238251"/>
            <a:ext cx="2152789" cy="3810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Inteligência de</a:t>
            </a:r>
            <a:r>
              <a:rPr lang="pt-BR" sz="1400" b="1" i="1" baseline="0"/>
              <a:t> Dados</a:t>
            </a:r>
            <a:endParaRPr lang="pt-BR" sz="1400" b="1" i="1"/>
          </a:p>
        </xdr:txBody>
      </xdr: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EDC3121C-4802-BE61-B187-39E2EFC888A1}"/>
              </a:ext>
            </a:extLst>
          </xdr:cNvPr>
          <xdr:cNvSpPr/>
        </xdr:nvSpPr>
        <xdr:spPr>
          <a:xfrm>
            <a:off x="1" y="1619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PDF</a:t>
            </a:r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FA03532D-0EA1-971D-F374-4D0572A78BFC}"/>
              </a:ext>
            </a:extLst>
          </xdr:cNvPr>
          <xdr:cNvSpPr/>
        </xdr:nvSpPr>
        <xdr:spPr>
          <a:xfrm>
            <a:off x="0" y="2000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Consultoria</a:t>
            </a:r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67411234-5213-D40A-1581-83E57D04C256}"/>
              </a:ext>
            </a:extLst>
          </xdr:cNvPr>
          <xdr:cNvSpPr/>
        </xdr:nvSpPr>
        <xdr:spPr>
          <a:xfrm>
            <a:off x="0" y="2381250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Gerência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16384</xdr:col>
      <xdr:colOff>606382</xdr:colOff>
      <xdr:row>1048576</xdr:row>
      <xdr:rowOff>179023</xdr:rowOff>
    </xdr:from>
    <xdr:to>
      <xdr:col>16384</xdr:col>
      <xdr:colOff>607386</xdr:colOff>
      <xdr:row>1048576</xdr:row>
      <xdr:rowOff>179023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FC2FE35F-5982-C021-28CB-F855C947D423}"/>
            </a:ext>
          </a:extLst>
        </xdr:cNvPr>
        <xdr:cNvSpPr/>
      </xdr:nvSpPr>
      <xdr:spPr>
        <a:xfrm>
          <a:off x="14335125" y="4676775"/>
          <a:ext cx="126000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1</xdr:colOff>
      <xdr:row>15</xdr:row>
      <xdr:rowOff>79663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9E008C0E-D9DF-7A03-6C40-17A85DA6148C}"/>
            </a:ext>
          </a:extLst>
        </xdr:cNvPr>
        <xdr:cNvGrpSpPr/>
      </xdr:nvGrpSpPr>
      <xdr:grpSpPr>
        <a:xfrm>
          <a:off x="0" y="508000"/>
          <a:ext cx="2165351" cy="2727613"/>
          <a:chOff x="0" y="506329"/>
          <a:chExt cx="2160672" cy="2255920"/>
        </a:xfrm>
      </xdr:grpSpPr>
      <xdr:sp macro="" textlink="">
        <xdr:nvSpPr>
          <xdr:cNvPr id="46" name="Retângulo 4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9C63E8-C4A4-B999-77EC-4C3232C766E0}"/>
              </a:ext>
            </a:extLst>
          </xdr:cNvPr>
          <xdr:cNvSpPr/>
        </xdr:nvSpPr>
        <xdr:spPr>
          <a:xfrm>
            <a:off x="0" y="506329"/>
            <a:ext cx="2160671" cy="360947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chemeClr val="bg1"/>
                </a:solidFill>
              </a:rPr>
              <a:t>Atividades Diárias</a:t>
            </a:r>
          </a:p>
        </xdr:txBody>
      </xdr:sp>
      <xdr:sp macro="" textlink="">
        <xdr:nvSpPr>
          <xdr:cNvPr id="52" name="Retângulo 5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296ACA-A4D2-AA34-F4E4-9267AECF3EA1}"/>
              </a:ext>
            </a:extLst>
          </xdr:cNvPr>
          <xdr:cNvSpPr/>
        </xdr:nvSpPr>
        <xdr:spPr>
          <a:xfrm>
            <a:off x="5253" y="867277"/>
            <a:ext cx="2155418" cy="370973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rgbClr val="0070C0"/>
                </a:solidFill>
              </a:rPr>
              <a:t>Inteligência Competitiva</a:t>
            </a:r>
          </a:p>
        </xdr:txBody>
      </xdr:sp>
      <xdr:sp macro="" textlink="">
        <xdr:nvSpPr>
          <xdr:cNvPr id="53" name="Retângulo 52">
            <a:extLst>
              <a:ext uri="{FF2B5EF4-FFF2-40B4-BE49-F238E27FC236}">
                <a16:creationId xmlns:a16="http://schemas.microsoft.com/office/drawing/2014/main" id="{4E584C0F-30D9-3C13-1018-ACC3A9038E4A}"/>
              </a:ext>
            </a:extLst>
          </xdr:cNvPr>
          <xdr:cNvSpPr/>
        </xdr:nvSpPr>
        <xdr:spPr>
          <a:xfrm>
            <a:off x="7882" y="1238251"/>
            <a:ext cx="2152789" cy="3810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Inteligência de</a:t>
            </a:r>
            <a:r>
              <a:rPr lang="pt-BR" sz="1400" b="1" i="1" baseline="0"/>
              <a:t> Dados</a:t>
            </a:r>
            <a:endParaRPr lang="pt-BR" sz="1400" b="1" i="1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D40A6953-5AD6-3537-016B-61542515A251}"/>
              </a:ext>
            </a:extLst>
          </xdr:cNvPr>
          <xdr:cNvSpPr/>
        </xdr:nvSpPr>
        <xdr:spPr>
          <a:xfrm>
            <a:off x="1" y="1619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PDF</a:t>
            </a:r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1DA98D91-4294-FF7D-6D85-70E4E8CB679C}"/>
              </a:ext>
            </a:extLst>
          </xdr:cNvPr>
          <xdr:cNvSpPr/>
        </xdr:nvSpPr>
        <xdr:spPr>
          <a:xfrm>
            <a:off x="0" y="2000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Consultoria</a:t>
            </a:r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13CBE744-AB9F-29CD-5FA5-BAECEC1F3246}"/>
              </a:ext>
            </a:extLst>
          </xdr:cNvPr>
          <xdr:cNvSpPr/>
        </xdr:nvSpPr>
        <xdr:spPr>
          <a:xfrm>
            <a:off x="0" y="2381250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Gerência</a:t>
            </a:r>
          </a:p>
        </xdr:txBody>
      </xdr:sp>
    </xdr:grpSp>
    <xdr:clientData/>
  </xdr:twoCellAnchor>
  <xdr:twoCellAnchor editAs="absolute">
    <xdr:from>
      <xdr:col>1</xdr:col>
      <xdr:colOff>183067</xdr:colOff>
      <xdr:row>16</xdr:row>
      <xdr:rowOff>0</xdr:rowOff>
    </xdr:from>
    <xdr:to>
      <xdr:col>3</xdr:col>
      <xdr:colOff>1299123</xdr:colOff>
      <xdr:row>17</xdr:row>
      <xdr:rowOff>170794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D3C7D90A-A6E3-BC86-1DC7-25785794E1D7}"/>
            </a:ext>
          </a:extLst>
        </xdr:cNvPr>
        <xdr:cNvGrpSpPr/>
      </xdr:nvGrpSpPr>
      <xdr:grpSpPr>
        <a:xfrm>
          <a:off x="2348417" y="3346450"/>
          <a:ext cx="2684506" cy="361294"/>
          <a:chOff x="2341145" y="693372"/>
          <a:chExt cx="2938322" cy="354379"/>
        </a:xfrm>
        <a:solidFill>
          <a:srgbClr val="00B050"/>
        </a:solidFill>
      </xdr:grpSpPr>
      <xdr:sp macro="[0]!CadastrarCliente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2D68DA95-DA4F-9C81-9E7D-53167AF89C91}"/>
              </a:ext>
            </a:extLst>
          </xdr:cNvPr>
          <xdr:cNvSpPr/>
        </xdr:nvSpPr>
        <xdr:spPr>
          <a:xfrm>
            <a:off x="2341145" y="693373"/>
            <a:ext cx="1440000" cy="354378"/>
          </a:xfrm>
          <a:prstGeom prst="rect">
            <a:avLst/>
          </a:prstGeom>
          <a:grpFill/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bg1"/>
                </a:solidFill>
              </a:rPr>
              <a:t>Cadastrar Projeto</a:t>
            </a:r>
          </a:p>
        </xdr:txBody>
      </xdr:sp>
      <xdr:sp macro="[0]!LimparCampos" textlink="">
        <xdr:nvSpPr>
          <xdr:cNvPr id="68" name="Retângulo 67">
            <a:extLst>
              <a:ext uri="{FF2B5EF4-FFF2-40B4-BE49-F238E27FC236}">
                <a16:creationId xmlns:a16="http://schemas.microsoft.com/office/drawing/2014/main" id="{B51CBC9C-A994-F99C-FAC1-B30B6052F520}"/>
              </a:ext>
            </a:extLst>
          </xdr:cNvPr>
          <xdr:cNvSpPr/>
        </xdr:nvSpPr>
        <xdr:spPr>
          <a:xfrm>
            <a:off x="3839467" y="693372"/>
            <a:ext cx="1440000" cy="354378"/>
          </a:xfrm>
          <a:prstGeom prst="rect">
            <a:avLst/>
          </a:prstGeom>
          <a:solidFill>
            <a:srgbClr val="FFFF00"/>
          </a:solidFill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tx1">
                    <a:lumMod val="85000"/>
                    <a:lumOff val="15000"/>
                  </a:schemeClr>
                </a:solidFill>
              </a:rPr>
              <a:t>Limpar</a:t>
            </a:r>
            <a:r>
              <a:rPr lang="pt-BR" sz="1050" b="1" i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 Campos</a:t>
            </a:r>
            <a:endParaRPr lang="pt-BR" sz="1050" b="1" i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183931</xdr:rowOff>
    </xdr:from>
    <xdr:to>
      <xdr:col>3</xdr:col>
      <xdr:colOff>1298947</xdr:colOff>
      <xdr:row>3</xdr:row>
      <xdr:rowOff>168730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C559CCC6-5E02-45A2-9FAE-B42E0A15893F}"/>
            </a:ext>
          </a:extLst>
        </xdr:cNvPr>
        <xdr:cNvGrpSpPr/>
      </xdr:nvGrpSpPr>
      <xdr:grpSpPr>
        <a:xfrm>
          <a:off x="2349500" y="691931"/>
          <a:ext cx="2683247" cy="353099"/>
          <a:chOff x="2341145" y="693372"/>
          <a:chExt cx="2938322" cy="354379"/>
        </a:xfrm>
      </xdr:grpSpPr>
      <xdr:sp macro="" textlink="">
        <xdr:nvSpPr>
          <xdr:cNvPr id="7" name="Retângulo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31F2C2C-DE48-201E-A771-486F177A64A2}"/>
              </a:ext>
            </a:extLst>
          </xdr:cNvPr>
          <xdr:cNvSpPr/>
        </xdr:nvSpPr>
        <xdr:spPr>
          <a:xfrm>
            <a:off x="2341145" y="693373"/>
            <a:ext cx="1440000" cy="354378"/>
          </a:xfrm>
          <a:prstGeom prst="rect">
            <a:avLst/>
          </a:prstGeom>
          <a:solidFill>
            <a:srgbClr val="FFC000"/>
          </a:solidFill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tx1">
                    <a:lumMod val="85000"/>
                    <a:lumOff val="15000"/>
                  </a:schemeClr>
                </a:solidFill>
              </a:rPr>
              <a:t>Cadastro</a:t>
            </a:r>
          </a:p>
        </xdr:txBody>
      </xdr:sp>
      <xdr:sp macro="" textlink="">
        <xdr:nvSpPr>
          <xdr:cNvPr id="8" name="Retângulo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21CD5CC-2541-4895-E869-FA30F7A32521}"/>
              </a:ext>
            </a:extLst>
          </xdr:cNvPr>
          <xdr:cNvSpPr/>
        </xdr:nvSpPr>
        <xdr:spPr>
          <a:xfrm>
            <a:off x="3839467" y="693372"/>
            <a:ext cx="1440000" cy="354378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bg1"/>
                </a:solidFill>
              </a:rPr>
              <a:t>Cadastro de Custo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</xdr:col>
      <xdr:colOff>1</xdr:colOff>
      <xdr:row>12</xdr:row>
      <xdr:rowOff>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46C2BF1E-772E-40F5-9BB4-AAB4658AF6BB}"/>
            </a:ext>
          </a:extLst>
        </xdr:cNvPr>
        <xdr:cNvGrpSpPr/>
      </xdr:nvGrpSpPr>
      <xdr:grpSpPr>
        <a:xfrm>
          <a:off x="0" y="508000"/>
          <a:ext cx="2165351" cy="2076450"/>
          <a:chOff x="0" y="506329"/>
          <a:chExt cx="2160672" cy="1874921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ED6FF340-1D71-B244-5271-3F139265A4FC}"/>
              </a:ext>
            </a:extLst>
          </xdr:cNvPr>
          <xdr:cNvSpPr/>
        </xdr:nvSpPr>
        <xdr:spPr>
          <a:xfrm>
            <a:off x="0" y="506329"/>
            <a:ext cx="2160671" cy="360947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rgbClr val="0070C0"/>
                </a:solidFill>
              </a:rPr>
              <a:t>Inteligência</a:t>
            </a:r>
            <a:r>
              <a:rPr lang="pt-BR" sz="1400" b="1" i="1" baseline="0">
                <a:solidFill>
                  <a:srgbClr val="0070C0"/>
                </a:solidFill>
              </a:rPr>
              <a:t> Competitiva</a:t>
            </a:r>
            <a:endParaRPr lang="pt-BR" sz="1400" b="1" i="1">
              <a:solidFill>
                <a:srgbClr val="0070C0"/>
              </a:solidFill>
            </a:endParaRPr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CF218EE-9B64-D651-70AE-1964007A33C0}"/>
              </a:ext>
            </a:extLst>
          </xdr:cNvPr>
          <xdr:cNvSpPr/>
        </xdr:nvSpPr>
        <xdr:spPr>
          <a:xfrm>
            <a:off x="5253" y="867277"/>
            <a:ext cx="2155418" cy="370973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Inteligência</a:t>
            </a:r>
            <a:r>
              <a:rPr lang="pt-BR" sz="1400" b="1" i="1" baseline="0"/>
              <a:t> de Dados</a:t>
            </a:r>
            <a:endParaRPr lang="pt-BR" sz="1400" b="1" i="1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40527BD-F72D-0BF5-576B-951EE9FA887F}"/>
              </a:ext>
            </a:extLst>
          </xdr:cNvPr>
          <xdr:cNvSpPr/>
        </xdr:nvSpPr>
        <xdr:spPr>
          <a:xfrm>
            <a:off x="7882" y="1238251"/>
            <a:ext cx="2152789" cy="3810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Gerência</a:t>
            </a: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21D051B-CF3C-9145-B4ED-79F6D22A4E8F}"/>
              </a:ext>
            </a:extLst>
          </xdr:cNvPr>
          <xdr:cNvSpPr/>
        </xdr:nvSpPr>
        <xdr:spPr>
          <a:xfrm>
            <a:off x="1" y="1619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PDF</a:t>
            </a:r>
          </a:p>
        </xdr:txBody>
      </xdr:sp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4FEF656F-815E-B0A7-BBC9-CF83A519EA79}"/>
              </a:ext>
            </a:extLst>
          </xdr:cNvPr>
          <xdr:cNvSpPr/>
        </xdr:nvSpPr>
        <xdr:spPr>
          <a:xfrm>
            <a:off x="0" y="2000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Consultoria</a:t>
            </a:r>
          </a:p>
        </xdr:txBody>
      </xdr:sp>
    </xdr:grpSp>
    <xdr:clientData/>
  </xdr:twoCellAnchor>
  <xdr:twoCellAnchor editAs="absolute">
    <xdr:from>
      <xdr:col>4</xdr:col>
      <xdr:colOff>238166</xdr:colOff>
      <xdr:row>5</xdr:row>
      <xdr:rowOff>0</xdr:rowOff>
    </xdr:from>
    <xdr:to>
      <xdr:col>4</xdr:col>
      <xdr:colOff>1213097</xdr:colOff>
      <xdr:row>7</xdr:row>
      <xdr:rowOff>0</xdr:rowOff>
    </xdr:to>
    <xdr:sp macro="[0]!LancarCustoAtividade" textlink="">
      <xdr:nvSpPr>
        <xdr:cNvPr id="17" name="Retângulo 16">
          <a:extLst>
            <a:ext uri="{FF2B5EF4-FFF2-40B4-BE49-F238E27FC236}">
              <a16:creationId xmlns:a16="http://schemas.microsoft.com/office/drawing/2014/main" id="{C78132B5-A182-4C8F-89A1-2F4C87043751}"/>
            </a:ext>
          </a:extLst>
        </xdr:cNvPr>
        <xdr:cNvSpPr/>
      </xdr:nvSpPr>
      <xdr:spPr>
        <a:xfrm>
          <a:off x="5267366" y="1250950"/>
          <a:ext cx="974931" cy="381000"/>
        </a:xfrm>
        <a:prstGeom prst="rect">
          <a:avLst/>
        </a:prstGeom>
        <a:solidFill>
          <a:srgbClr val="0070C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i="1">
              <a:solidFill>
                <a:schemeClr val="bg1"/>
              </a:solidFill>
            </a:rPr>
            <a:t>Lançar </a:t>
          </a:r>
          <a:br>
            <a:rPr lang="pt-BR" sz="900" b="1" i="1">
              <a:solidFill>
                <a:schemeClr val="bg1"/>
              </a:solidFill>
            </a:rPr>
          </a:br>
          <a:r>
            <a:rPr lang="pt-BR" sz="900" b="1" i="1">
              <a:solidFill>
                <a:schemeClr val="bg1"/>
              </a:solidFill>
            </a:rPr>
            <a:t>Atividade</a:t>
          </a:r>
        </a:p>
      </xdr:txBody>
    </xdr:sp>
    <xdr:clientData/>
  </xdr:twoCellAnchor>
  <xdr:twoCellAnchor editAs="absolute">
    <xdr:from>
      <xdr:col>4</xdr:col>
      <xdr:colOff>240890</xdr:colOff>
      <xdr:row>8</xdr:row>
      <xdr:rowOff>0</xdr:rowOff>
    </xdr:from>
    <xdr:to>
      <xdr:col>4</xdr:col>
      <xdr:colOff>1215821</xdr:colOff>
      <xdr:row>10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BC92FD32-FAB8-3D7D-2F99-0C2CA3E924A0}"/>
            </a:ext>
          </a:extLst>
        </xdr:cNvPr>
        <xdr:cNvSpPr/>
      </xdr:nvSpPr>
      <xdr:spPr>
        <a:xfrm>
          <a:off x="5270090" y="1822450"/>
          <a:ext cx="974931" cy="381000"/>
        </a:xfrm>
        <a:prstGeom prst="rect">
          <a:avLst/>
        </a:prstGeom>
        <a:solidFill>
          <a:srgbClr val="FFC00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i="1">
              <a:solidFill>
                <a:schemeClr val="tx1">
                  <a:lumMod val="85000"/>
                  <a:lumOff val="15000"/>
                </a:schemeClr>
              </a:solidFill>
            </a:rPr>
            <a:t>Limpar </a:t>
          </a:r>
          <a:br>
            <a:rPr lang="pt-BR" sz="900" b="1" i="1">
              <a:solidFill>
                <a:schemeClr val="tx1">
                  <a:lumMod val="85000"/>
                  <a:lumOff val="15000"/>
                </a:schemeClr>
              </a:solidFill>
            </a:rPr>
          </a:br>
          <a:r>
            <a:rPr lang="pt-BR" sz="900" b="1" i="1">
              <a:solidFill>
                <a:schemeClr val="tx1">
                  <a:lumMod val="85000"/>
                  <a:lumOff val="15000"/>
                </a:schemeClr>
              </a:solidFill>
            </a:rPr>
            <a:t>Campos</a:t>
          </a:r>
        </a:p>
      </xdr:txBody>
    </xdr:sp>
    <xdr:clientData/>
  </xdr:twoCellAnchor>
  <xdr:twoCellAnchor editAs="absolute">
    <xdr:from>
      <xdr:col>4</xdr:col>
      <xdr:colOff>240890</xdr:colOff>
      <xdr:row>11</xdr:row>
      <xdr:rowOff>6569</xdr:rowOff>
    </xdr:from>
    <xdr:to>
      <xdr:col>4</xdr:col>
      <xdr:colOff>1215821</xdr:colOff>
      <xdr:row>13</xdr:row>
      <xdr:rowOff>6569</xdr:rowOff>
    </xdr:to>
    <xdr:sp macro="[0]!RegistrarBaseCusto" textlink="">
      <xdr:nvSpPr>
        <xdr:cNvPr id="19" name="Retângulo 18">
          <a:extLst>
            <a:ext uri="{FF2B5EF4-FFF2-40B4-BE49-F238E27FC236}">
              <a16:creationId xmlns:a16="http://schemas.microsoft.com/office/drawing/2014/main" id="{DBA865F6-1F6A-D256-9F21-F52B080FC3E1}"/>
            </a:ext>
          </a:extLst>
        </xdr:cNvPr>
        <xdr:cNvSpPr/>
      </xdr:nvSpPr>
      <xdr:spPr>
        <a:xfrm>
          <a:off x="5270090" y="2400519"/>
          <a:ext cx="974931" cy="381000"/>
        </a:xfrm>
        <a:prstGeom prst="rect">
          <a:avLst/>
        </a:prstGeom>
        <a:solidFill>
          <a:srgbClr val="00B05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i="1">
              <a:solidFill>
                <a:schemeClr val="bg1"/>
              </a:solidFill>
            </a:rPr>
            <a:t>Registrar </a:t>
          </a:r>
          <a:br>
            <a:rPr lang="pt-BR" sz="900" b="1" i="1">
              <a:solidFill>
                <a:schemeClr val="bg1"/>
              </a:solidFill>
            </a:rPr>
          </a:br>
          <a:r>
            <a:rPr lang="pt-BR" sz="900" b="1" i="1">
              <a:solidFill>
                <a:schemeClr val="bg1"/>
              </a:solidFill>
            </a:rPr>
            <a:t>Custo</a:t>
          </a:r>
        </a:p>
      </xdr:txBody>
    </xdr:sp>
    <xdr:clientData/>
  </xdr:twoCellAnchor>
  <xdr:twoCellAnchor editAs="absolute">
    <xdr:from>
      <xdr:col>4</xdr:col>
      <xdr:colOff>245687</xdr:colOff>
      <xdr:row>14</xdr:row>
      <xdr:rowOff>0</xdr:rowOff>
    </xdr:from>
    <xdr:to>
      <xdr:col>4</xdr:col>
      <xdr:colOff>1223483</xdr:colOff>
      <xdr:row>16</xdr:row>
      <xdr:rowOff>0</xdr:rowOff>
    </xdr:to>
    <xdr:sp macro="[0]!LancarCustoTerceiro" textlink="">
      <xdr:nvSpPr>
        <xdr:cNvPr id="22" name="Retângulo 21">
          <a:extLst>
            <a:ext uri="{FF2B5EF4-FFF2-40B4-BE49-F238E27FC236}">
              <a16:creationId xmlns:a16="http://schemas.microsoft.com/office/drawing/2014/main" id="{9B27530D-E85A-F988-E382-552C7F230EB4}"/>
            </a:ext>
          </a:extLst>
        </xdr:cNvPr>
        <xdr:cNvSpPr/>
      </xdr:nvSpPr>
      <xdr:spPr>
        <a:xfrm>
          <a:off x="5274887" y="2965450"/>
          <a:ext cx="977796" cy="381000"/>
        </a:xfrm>
        <a:prstGeom prst="rect">
          <a:avLst/>
        </a:prstGeom>
        <a:solidFill>
          <a:srgbClr val="0070C0"/>
        </a:solidFill>
        <a:ln w="762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 i="1">
              <a:solidFill>
                <a:schemeClr val="bg1"/>
              </a:solidFill>
            </a:rPr>
            <a:t>Lançar </a:t>
          </a:r>
          <a:br>
            <a:rPr lang="pt-BR" sz="900" b="1" i="1">
              <a:solidFill>
                <a:schemeClr val="bg1"/>
              </a:solidFill>
            </a:rPr>
          </a:br>
          <a:r>
            <a:rPr lang="pt-BR" sz="900" b="1" i="1">
              <a:solidFill>
                <a:schemeClr val="bg1"/>
              </a:solidFill>
            </a:rPr>
            <a:t>Terceiros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1</xdr:colOff>
      <xdr:row>15</xdr:row>
      <xdr:rowOff>79663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0F77ED0-196E-4BB4-AF19-224CE6EAEE49}"/>
            </a:ext>
          </a:extLst>
        </xdr:cNvPr>
        <xdr:cNvGrpSpPr/>
      </xdr:nvGrpSpPr>
      <xdr:grpSpPr>
        <a:xfrm>
          <a:off x="0" y="508000"/>
          <a:ext cx="2165351" cy="2727613"/>
          <a:chOff x="0" y="506329"/>
          <a:chExt cx="2160672" cy="2255920"/>
        </a:xfrm>
      </xdr:grpSpPr>
      <xdr:sp macro="" textlink="">
        <xdr:nvSpPr>
          <xdr:cNvPr id="23" name="Retângulo 2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B2D9CF-29BF-46E8-A3D8-6C31214ECAA0}"/>
              </a:ext>
            </a:extLst>
          </xdr:cNvPr>
          <xdr:cNvSpPr/>
        </xdr:nvSpPr>
        <xdr:spPr>
          <a:xfrm>
            <a:off x="0" y="506329"/>
            <a:ext cx="2160671" cy="360947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chemeClr val="bg1"/>
                </a:solidFill>
              </a:rPr>
              <a:t>Atividades Diárias</a:t>
            </a:r>
          </a:p>
        </xdr:txBody>
      </xdr:sp>
      <xdr:sp macro="" textlink="">
        <xdr:nvSpPr>
          <xdr:cNvPr id="24" name="Retângulo 2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8837FB0-7BE4-8A28-162F-8D34D00769A8}"/>
              </a:ext>
            </a:extLst>
          </xdr:cNvPr>
          <xdr:cNvSpPr/>
        </xdr:nvSpPr>
        <xdr:spPr>
          <a:xfrm>
            <a:off x="5253" y="867277"/>
            <a:ext cx="2155418" cy="370973"/>
          </a:xfrm>
          <a:prstGeom prst="rect">
            <a:avLst/>
          </a:prstGeom>
          <a:solidFill>
            <a:schemeClr val="tx2">
              <a:lumMod val="10000"/>
              <a:lumOff val="9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>
                <a:solidFill>
                  <a:srgbClr val="0070C0"/>
                </a:solidFill>
              </a:rPr>
              <a:t>Inteligência Competitiva</a:t>
            </a:r>
          </a:p>
        </xdr:txBody>
      </xdr: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338357A3-B616-3949-0134-C3330726E369}"/>
              </a:ext>
            </a:extLst>
          </xdr:cNvPr>
          <xdr:cNvSpPr/>
        </xdr:nvSpPr>
        <xdr:spPr>
          <a:xfrm>
            <a:off x="7882" y="1238251"/>
            <a:ext cx="2152789" cy="3810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Inteligência de</a:t>
            </a:r>
            <a:r>
              <a:rPr lang="pt-BR" sz="1400" b="1" i="1" baseline="0"/>
              <a:t> Dados</a:t>
            </a:r>
            <a:endParaRPr lang="pt-BR" sz="1400" b="1" i="1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F0D69B30-63C9-DC33-4B6C-41D3CF890697}"/>
              </a:ext>
            </a:extLst>
          </xdr:cNvPr>
          <xdr:cNvSpPr/>
        </xdr:nvSpPr>
        <xdr:spPr>
          <a:xfrm>
            <a:off x="1" y="1619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PDF</a:t>
            </a:r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38E503C0-0353-357D-694B-6884F22D9CE3}"/>
              </a:ext>
            </a:extLst>
          </xdr:cNvPr>
          <xdr:cNvSpPr/>
        </xdr:nvSpPr>
        <xdr:spPr>
          <a:xfrm>
            <a:off x="0" y="2000251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Consultoria</a:t>
            </a:r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65F53EC-A925-2506-02E2-02E612DD4F47}"/>
              </a:ext>
            </a:extLst>
          </xdr:cNvPr>
          <xdr:cNvSpPr/>
        </xdr:nvSpPr>
        <xdr:spPr>
          <a:xfrm>
            <a:off x="0" y="2381250"/>
            <a:ext cx="2160671" cy="380999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 i="1"/>
              <a:t>Gerência</a:t>
            </a:r>
          </a:p>
        </xdr:txBody>
      </xdr:sp>
    </xdr:grpSp>
    <xdr:clientData/>
  </xdr:twoCellAnchor>
  <xdr:twoCellAnchor editAs="absolute">
    <xdr:from>
      <xdr:col>2</xdr:col>
      <xdr:colOff>0</xdr:colOff>
      <xdr:row>2</xdr:row>
      <xdr:rowOff>0</xdr:rowOff>
    </xdr:from>
    <xdr:to>
      <xdr:col>4</xdr:col>
      <xdr:colOff>3547</xdr:colOff>
      <xdr:row>3</xdr:row>
      <xdr:rowOff>168949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9355D400-8DAD-440C-9E31-CEDCCD3E4AB2}"/>
            </a:ext>
          </a:extLst>
        </xdr:cNvPr>
        <xdr:cNvGrpSpPr/>
      </xdr:nvGrpSpPr>
      <xdr:grpSpPr>
        <a:xfrm>
          <a:off x="2349500" y="692150"/>
          <a:ext cx="2683247" cy="353099"/>
          <a:chOff x="2341145" y="693372"/>
          <a:chExt cx="2938322" cy="354379"/>
        </a:xfrm>
      </xdr:grpSpPr>
      <xdr:sp macro="" textlink="">
        <xdr:nvSpPr>
          <xdr:cNvPr id="31" name="Retângulo 3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3C17D2-666A-FA91-DB46-BF1D19355AE3}"/>
              </a:ext>
            </a:extLst>
          </xdr:cNvPr>
          <xdr:cNvSpPr/>
        </xdr:nvSpPr>
        <xdr:spPr>
          <a:xfrm>
            <a:off x="2341145" y="693373"/>
            <a:ext cx="1440000" cy="354378"/>
          </a:xfrm>
          <a:prstGeom prst="rect">
            <a:avLst/>
          </a:prstGeom>
          <a:solidFill>
            <a:srgbClr val="FFC000"/>
          </a:solidFill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tx1">
                    <a:lumMod val="85000"/>
                    <a:lumOff val="15000"/>
                  </a:schemeClr>
                </a:solidFill>
              </a:rPr>
              <a:t>Cadastro</a:t>
            </a:r>
          </a:p>
        </xdr:txBody>
      </xdr:sp>
      <xdr:sp macro="" textlink="">
        <xdr:nvSpPr>
          <xdr:cNvPr id="32" name="Retângulo 3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0E7D5BB-E81C-EB15-C6DB-5C21355513F0}"/>
              </a:ext>
            </a:extLst>
          </xdr:cNvPr>
          <xdr:cNvSpPr/>
        </xdr:nvSpPr>
        <xdr:spPr>
          <a:xfrm>
            <a:off x="3839467" y="693372"/>
            <a:ext cx="1440000" cy="354378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 w="76200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 i="1">
                <a:solidFill>
                  <a:schemeClr val="bg1"/>
                </a:solidFill>
              </a:rPr>
              <a:t>Cadastro de Custo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361950</xdr:colOff>
      <xdr:row>6</xdr:row>
      <xdr:rowOff>66675</xdr:rowOff>
    </xdr:from>
    <xdr:to>
      <xdr:col>19</xdr:col>
      <xdr:colOff>447675</xdr:colOff>
      <xdr:row>23</xdr:row>
      <xdr:rowOff>123824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E6F6A2E-5F6D-4DAF-8292-9200D6505E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4263" t="-29280" r="-14009" b="-26578"/>
        <a:stretch>
          <a:fillRect/>
        </a:stretch>
      </xdr:blipFill>
      <xdr:spPr>
        <a:xfrm>
          <a:off x="4629150" y="1209675"/>
          <a:ext cx="7400925" cy="329564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A4A9DE-61F6-4337-9A30-3E66E66726F4}" name="o15d" displayName="o15d" ref="A1:A6" totalsRowShown="0" headerRowDxfId="87" tableBorderDxfId="86">
  <autoFilter ref="A1:A6" xr:uid="{DAA4A9DE-61F6-4337-9A30-3E66E66726F4}"/>
  <tableColumns count="1">
    <tableColumn id="1" xr3:uid="{78C17EC0-CFCA-4419-80E0-7CDC8F296255}" name="1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D3DDF4D-D9ED-462C-A988-5805E4A1925F}" name="Tabela19" displayName="Tabela19" ref="J23:R27" totalsRowShown="0" headerRowDxfId="84" dataDxfId="82" headerRowBorderDxfId="83" tableBorderDxfId="81">
  <autoFilter ref="J23:R27" xr:uid="{CD3DDF4D-D9ED-462C-A988-5805E4A1925F}"/>
  <tableColumns count="9">
    <tableColumn id="1" xr3:uid="{72439FB2-D9FC-41FA-BC89-F78CC797137C}" name="Nº do Projeto" dataDxfId="80" totalsRowDxfId="79"/>
    <tableColumn id="2" xr3:uid="{6F38C5EA-5059-4603-9953-AE109CE79EF0}" name="Etapa" dataDxfId="78" totalsRowDxfId="77"/>
    <tableColumn id="4" xr3:uid="{F7A7E71C-A7E7-46C4-A172-85DD71F900C9}" name="Fase" dataDxfId="76" totalsRowDxfId="75"/>
    <tableColumn id="5" xr3:uid="{A62FD8FE-34B0-44F7-A201-8F122F96936B}" name="Responsável" dataDxfId="74" totalsRowDxfId="73"/>
    <tableColumn id="6" xr3:uid="{9B83B7E9-748E-4F40-9536-7A2ABC4A901E}" name="Horas Previstas" dataDxfId="72" totalsRowDxfId="71"/>
    <tableColumn id="9" xr3:uid="{8F416ACE-41D5-4D7E-8DBC-8512D6F8F5AC}" name="Descrição" dataDxfId="70" totalsRowDxfId="69"/>
    <tableColumn id="10" xr3:uid="{20A258C0-F9B3-47D9-AC6B-FF2B8B82DB73}" name="Custo 3º" dataDxfId="24" totalsRowDxfId="68"/>
    <tableColumn id="7" xr3:uid="{F8AD1F0F-F86A-4DB2-BE50-012E98F097B8}" name="Valor da Hora " dataDxfId="23" totalsRowDxfId="67">
      <calculatedColumnFormula>IF(SUMIF(Auxiliar!D:D,Tabela19[[#This Row],[Responsável]],Auxiliar!E:E)=0,"",SUMIF(Auxiliar!D:D,Tabela19[[#This Row],[Responsável]],Auxiliar!E:E))</calculatedColumnFormula>
    </tableColumn>
    <tableColumn id="8" xr3:uid="{5D8FAD01-29A7-42DC-8DAA-1F51ED4AD87C}" name="Custo Total Previsto " dataDxfId="22" totalsRowDxfId="66">
      <calculatedColumnFormula>IFERROR(IF(Tabela19[[#This Row],[Horas Previstas]]*Tabela19[[#This Row],[Valor da Hora ]]=0,"",Tabela19[[#This Row],[Horas Previstas]]*Tabela19[[#This Row],[Valor da Hora ]]),"")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864FA0-5E1B-4B35-9F2F-A78D3017A08B}" name="Tabela4" displayName="Tabela4" ref="A1:G3" totalsRowShown="0" headerRowDxfId="25" dataDxfId="26" tableBorderDxfId="34">
  <autoFilter ref="A1:G3" xr:uid="{F4864FA0-5E1B-4B35-9F2F-A78D3017A08B}"/>
  <tableColumns count="7">
    <tableColumn id="1" xr3:uid="{C98C7E68-4965-48B6-BA5D-E5C8E1226658}" name="Número do Projeto" dataDxfId="33"/>
    <tableColumn id="2" xr3:uid="{597D410E-61F3-4702-AF19-8E3968DB4211}" name="Data de Lançamento" dataDxfId="32"/>
    <tableColumn id="3" xr3:uid="{CC8A7724-D7D7-474A-B167-C42E4CC15CD2}" name="Etapa" dataDxfId="31"/>
    <tableColumn id="4" xr3:uid="{052C6ECF-70A5-4F36-AB0D-71D57842087B}" name="Fase" dataDxfId="30"/>
    <tableColumn id="5" xr3:uid="{9486E35A-270C-4098-87E2-13D298FBC0B0}" name="Responsável" dataDxfId="29"/>
    <tableColumn id="6" xr3:uid="{DC871838-E869-4B04-BBB9-AD2F536C4369}" name="Horas Realizadas" dataDxfId="28"/>
    <tableColumn id="7" xr3:uid="{037A45D2-E21E-4FED-86BF-9552F2035FA7}" name="Observação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D02BE8D-43E5-42AA-B7A3-C2E1106E19D4}" name="Tabela28" displayName="Tabela28" ref="A1:H3" totalsRowShown="0" headerRowDxfId="13" dataDxfId="12">
  <autoFilter ref="A1:H3" xr:uid="{2D02BE8D-43E5-42AA-B7A3-C2E1106E19D4}"/>
  <tableColumns count="8">
    <tableColumn id="1" xr3:uid="{33B677A5-D51F-4B50-89CC-B9E167260F30}" name="Código (ID)" dataDxfId="21"/>
    <tableColumn id="2" xr3:uid="{14051592-F8BD-4465-A085-3687E171B017}" name="Nome do Projeto" dataDxfId="20"/>
    <tableColumn id="3" xr3:uid="{4CA2A4C8-B634-4EFA-B9A9-E08F86A8D478}" name="Cliente" dataDxfId="19"/>
    <tableColumn id="4" xr3:uid="{39EE2476-D65D-4790-A4BB-05D333D3A383}" name="CNPJ/CPF" dataDxfId="18"/>
    <tableColumn id="5" xr3:uid="{B64CD06F-3E9B-4867-9058-DF56D62E6DC3}" name="Área de Atendimento" dataDxfId="17"/>
    <tableColumn id="6" xr3:uid="{A88C8C08-0EE3-4D9E-841D-941E3277A25C}" name="Gerente do Projeto" dataDxfId="16"/>
    <tableColumn id="8" xr3:uid="{A82A7B77-0F4B-4D76-8045-75FFB3F507DC}" name="Data de Lançamento" dataDxfId="15"/>
    <tableColumn id="9" xr3:uid="{41413173-EAB6-46DB-9FA9-1B4E7626DF83}" name="Objeto da Proposta" dataDxfId="14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00253CE-B747-4A07-8AE1-FF574918761B}" name="Tabela27" displayName="Tabela27" ref="A1:I4" totalsRowShown="0" headerRowDxfId="2" dataDxfId="1" totalsRowDxfId="65">
  <autoFilter ref="A1:I4" xr:uid="{600253CE-B747-4A07-8AE1-FF574918761B}"/>
  <tableColumns count="9">
    <tableColumn id="1" xr3:uid="{F6528DB9-8BC1-4B4D-8060-9E92E98BE027}" name="Nº do Projeto" dataDxfId="11" totalsRowDxfId="64"/>
    <tableColumn id="7" xr3:uid="{9B7B3A9E-1571-4AED-A6B4-BDBAC1021B36}" name="Etapa" dataDxfId="10" totalsRowDxfId="63"/>
    <tableColumn id="3" xr3:uid="{BFF7C0DD-34DE-4320-9077-ED2CCA2E30FD}" name="Fase" dataDxfId="9" totalsRowDxfId="62"/>
    <tableColumn id="10" xr3:uid="{CE9BF94D-4FCE-4062-BF15-B4CA6A761206}" name="Responsável" dataDxfId="8" totalsRowDxfId="61"/>
    <tableColumn id="4" xr3:uid="{E34F799A-68F3-47F9-8A39-2548D6674055}" name="Horas Previstas" dataDxfId="7" totalsRowDxfId="60"/>
    <tableColumn id="5" xr3:uid="{610E3828-5A53-4025-BDF1-2F2E84BB5759}" name="Descrição" dataDxfId="6" totalsRowDxfId="59"/>
    <tableColumn id="11" xr3:uid="{E96A2A12-C959-4EFA-975E-A607A975D273}" name="Custo 3º" dataDxfId="5" totalsRowDxfId="58"/>
    <tableColumn id="6" xr3:uid="{0D27260C-C5A8-4CF6-9EBD-5738776E4567}" name="Valor da Hora " dataDxfId="4" totalsRowDxfId="57"/>
    <tableColumn id="8" xr3:uid="{3F6B7DD2-34C1-4EFC-B90A-D61921448452}" name="Custo Total Previsto " dataDxfId="3" totalsRowDxfId="5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FB28F09-8CA7-493B-9146-24ACDB8CA771}" name="Tabela20" displayName="Tabela20" ref="D1:F21" totalsRowShown="0" headerRowDxfId="55">
  <autoFilter ref="D1:F21" xr:uid="{BFB28F09-8CA7-493B-9146-24ACDB8CA771}"/>
  <tableColumns count="3">
    <tableColumn id="1" xr3:uid="{C2C6F5BD-A109-4BE0-B67C-FFE558F60A88}" name="➤ Nome do Integrante" dataDxfId="54"/>
    <tableColumn id="2" xr3:uid="{A97EDFD3-27BA-46EB-8C8C-370CE81699F4}" name="Valor da Hora" dataDxfId="53"/>
    <tableColumn id="3" xr3:uid="{4C553907-85D8-47E2-BF41-A266A6E97F24}" name="Cargo" dataDxfId="52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A73B723-C0CD-4FAB-A129-2C4384D70093}" name="Tabela21" displayName="Tabela21" ref="J1:J21" totalsRowShown="0" headerRowDxfId="51" dataDxfId="50">
  <autoFilter ref="J1:J21" xr:uid="{9A73B723-C0CD-4FAB-A129-2C4384D70093}"/>
  <tableColumns count="1">
    <tableColumn id="1" xr3:uid="{A6252B1C-56B2-4997-8AAB-AA6F1FCC69AC}" name="➤ Etapas" dataDxfId="4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237E74C-332A-4072-965F-7821C36D70F2}" name="Tabela22" displayName="Tabela22" ref="L1:L21" totalsRowShown="0" headerRowDxfId="48" dataDxfId="47">
  <autoFilter ref="L1:L21" xr:uid="{7237E74C-332A-4072-965F-7821C36D70F2}"/>
  <tableColumns count="1">
    <tableColumn id="1" xr3:uid="{8B4D8000-BD2A-47E3-9891-6DB60727AE0E}" name="➤ Áreas" dataDxfId="46"/>
  </tableColumns>
  <tableStyleInfo name="TableStyleMedium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05869A-000E-4916-AFE8-A4C32BC516F4}" name="Tabela23" displayName="Tabela23" ref="H1:H21" totalsRowShown="0" headerRowDxfId="45" dataDxfId="44" totalsRowDxfId="43">
  <autoFilter ref="H1:H21" xr:uid="{7E05869A-000E-4916-AFE8-A4C32BC516F4}"/>
  <tableColumns count="1">
    <tableColumn id="1" xr3:uid="{A737000C-594C-4E35-AFF0-7C3F2D97BC11}" name="➤ Nome da Pesquisa" dataDxfId="42" totalsRowDxfId="41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3A34B79-FA0F-4051-9E83-B8ED7235C07E}" name="Tabela24" displayName="Tabela24" ref="N1:N36" totalsRowShown="0" headerRowDxfId="40" dataDxfId="39">
  <autoFilter ref="N1:N36" xr:uid="{83A34B79-FA0F-4051-9E83-B8ED7235C07E}"/>
  <tableColumns count="1">
    <tableColumn id="1" xr3:uid="{4455AAA6-55A3-4D37-88E7-12B12E8B8CD2}" name="➤ Fase do Projeto" dataDxfId="38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FE1C635-BBEF-4920-9F9E-4E027AC78BDA}" name="Tabela26" displayName="Tabela26" ref="A1:B21" totalsRowShown="0" headerRowDxfId="37" headerRowBorderDxfId="36" tableBorderDxfId="35">
  <autoFilter ref="A1:B21" xr:uid="{0FE1C635-BBEF-4920-9F9E-4E027AC78BDA}"/>
  <tableColumns count="2">
    <tableColumn id="1" xr3:uid="{D72C9554-1707-46C5-87AA-9523DA976AA4}" name="➤ Nome do Projeto"/>
    <tableColumn id="2" xr3:uid="{331BB739-2686-47ED-8DC1-73303AEEC37B}" name="Número (ID)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14288-0FD2-47A6-A393-7DF81AFFD438}">
  <sheetPr codeName="Planilha5"/>
  <dimension ref="B2:J16"/>
  <sheetViews>
    <sheetView showGridLines="0" workbookViewId="0"/>
  </sheetViews>
  <sheetFormatPr defaultRowHeight="15" customHeight="1" x14ac:dyDescent="0.25"/>
  <cols>
    <col min="2" max="3" width="13.28515625" style="1" customWidth="1"/>
    <col min="4" max="4" width="18" customWidth="1"/>
    <col min="5" max="5" width="21.5703125" bestFit="1" customWidth="1"/>
    <col min="6" max="6" width="15.42578125" customWidth="1"/>
    <col min="7" max="7" width="16.7109375" customWidth="1"/>
    <col min="8" max="8" width="19.28515625" customWidth="1"/>
    <col min="11" max="11" width="16.7109375" customWidth="1"/>
    <col min="12" max="12" width="14.85546875" customWidth="1"/>
  </cols>
  <sheetData>
    <row r="2" spans="2:10" ht="35.450000000000003" customHeight="1" x14ac:dyDescent="0.25">
      <c r="B2" s="5" t="s">
        <v>63</v>
      </c>
      <c r="C2" s="5" t="s">
        <v>64</v>
      </c>
      <c r="D2" s="5" t="s">
        <v>65</v>
      </c>
      <c r="E2" s="5" t="s">
        <v>66</v>
      </c>
      <c r="F2" s="5" t="s">
        <v>67</v>
      </c>
      <c r="G2" s="5" t="s">
        <v>68</v>
      </c>
      <c r="H2" s="6" t="s">
        <v>69</v>
      </c>
    </row>
    <row r="3" spans="2:10" x14ac:dyDescent="0.25">
      <c r="B3" s="3">
        <v>1</v>
      </c>
      <c r="C3" s="3" t="s">
        <v>70</v>
      </c>
      <c r="D3" s="2" t="s">
        <v>35</v>
      </c>
      <c r="E3" s="2" t="s">
        <v>71</v>
      </c>
      <c r="F3" s="3">
        <v>8</v>
      </c>
      <c r="G3" s="3">
        <v>160</v>
      </c>
      <c r="H3" s="7">
        <v>150</v>
      </c>
    </row>
    <row r="4" spans="2:10" x14ac:dyDescent="0.25">
      <c r="B4" s="3">
        <v>2</v>
      </c>
      <c r="C4" s="3" t="s">
        <v>70</v>
      </c>
      <c r="D4" s="2" t="s">
        <v>5</v>
      </c>
      <c r="E4" s="2" t="s">
        <v>72</v>
      </c>
      <c r="F4" s="4">
        <v>8</v>
      </c>
      <c r="G4" s="3">
        <v>160</v>
      </c>
      <c r="H4" s="7">
        <v>65</v>
      </c>
    </row>
    <row r="5" spans="2:10" x14ac:dyDescent="0.25">
      <c r="B5" s="3">
        <v>3</v>
      </c>
      <c r="C5" s="3" t="s">
        <v>70</v>
      </c>
      <c r="D5" s="2" t="s">
        <v>24</v>
      </c>
      <c r="E5" s="2" t="s">
        <v>73</v>
      </c>
      <c r="F5" s="4">
        <v>8</v>
      </c>
      <c r="G5" s="3">
        <v>160</v>
      </c>
      <c r="H5" s="7">
        <v>55</v>
      </c>
    </row>
    <row r="6" spans="2:10" x14ac:dyDescent="0.25">
      <c r="B6" s="3">
        <v>4</v>
      </c>
      <c r="C6" s="3" t="s">
        <v>74</v>
      </c>
      <c r="D6" s="2" t="s">
        <v>26</v>
      </c>
      <c r="E6" s="2" t="s">
        <v>75</v>
      </c>
      <c r="F6" s="4">
        <v>8</v>
      </c>
      <c r="G6" s="3">
        <v>160</v>
      </c>
      <c r="H6" s="7">
        <v>35</v>
      </c>
    </row>
    <row r="7" spans="2:10" x14ac:dyDescent="0.25">
      <c r="B7" s="3">
        <v>5</v>
      </c>
      <c r="C7" s="3" t="s">
        <v>74</v>
      </c>
      <c r="D7" s="2" t="s">
        <v>25</v>
      </c>
      <c r="E7" s="2" t="s">
        <v>76</v>
      </c>
      <c r="F7" s="4">
        <v>8</v>
      </c>
      <c r="G7" s="3">
        <v>160</v>
      </c>
      <c r="H7" s="7">
        <v>35</v>
      </c>
    </row>
    <row r="8" spans="2:10" x14ac:dyDescent="0.25">
      <c r="B8" s="3">
        <v>6</v>
      </c>
      <c r="C8" s="3" t="s">
        <v>70</v>
      </c>
      <c r="D8" s="2" t="s">
        <v>50</v>
      </c>
      <c r="E8" s="2" t="s">
        <v>77</v>
      </c>
      <c r="F8" s="4">
        <v>8</v>
      </c>
      <c r="G8" s="3">
        <v>160</v>
      </c>
      <c r="H8" s="7">
        <v>45</v>
      </c>
    </row>
    <row r="9" spans="2:10" x14ac:dyDescent="0.25">
      <c r="B9" s="3">
        <v>7</v>
      </c>
      <c r="C9" s="3" t="s">
        <v>70</v>
      </c>
      <c r="D9" s="2" t="s">
        <v>12</v>
      </c>
      <c r="E9" s="2" t="s">
        <v>78</v>
      </c>
      <c r="F9" s="4">
        <v>8</v>
      </c>
      <c r="G9" s="3">
        <v>160</v>
      </c>
      <c r="H9" s="7">
        <v>55</v>
      </c>
    </row>
    <row r="10" spans="2:10" x14ac:dyDescent="0.25">
      <c r="B10" s="3">
        <v>8</v>
      </c>
      <c r="C10" s="3" t="s">
        <v>79</v>
      </c>
      <c r="D10" s="2" t="s">
        <v>38</v>
      </c>
      <c r="E10" s="2" t="s">
        <v>80</v>
      </c>
      <c r="F10" s="4">
        <v>6</v>
      </c>
      <c r="G10" s="3">
        <v>120</v>
      </c>
      <c r="H10" s="7">
        <v>15</v>
      </c>
    </row>
    <row r="11" spans="2:10" x14ac:dyDescent="0.25">
      <c r="B11" s="3">
        <v>9</v>
      </c>
      <c r="C11" s="3" t="s">
        <v>79</v>
      </c>
      <c r="D11" s="2" t="s">
        <v>81</v>
      </c>
      <c r="E11" s="2" t="s">
        <v>82</v>
      </c>
      <c r="F11" s="4">
        <v>6</v>
      </c>
      <c r="G11" s="3">
        <v>120</v>
      </c>
      <c r="H11" s="7">
        <v>15</v>
      </c>
    </row>
    <row r="12" spans="2:10" x14ac:dyDescent="0.25">
      <c r="B12" s="3">
        <v>10</v>
      </c>
      <c r="C12" s="3" t="s">
        <v>70</v>
      </c>
      <c r="D12" s="2" t="s">
        <v>21</v>
      </c>
      <c r="E12" s="2" t="s">
        <v>83</v>
      </c>
      <c r="F12" s="4">
        <v>8</v>
      </c>
      <c r="G12" s="3">
        <v>160</v>
      </c>
      <c r="H12" s="7">
        <v>25</v>
      </c>
    </row>
    <row r="13" spans="2:10" x14ac:dyDescent="0.25">
      <c r="B13" s="3">
        <v>11</v>
      </c>
      <c r="C13" s="3" t="s">
        <v>79</v>
      </c>
      <c r="D13" s="2" t="s">
        <v>33</v>
      </c>
      <c r="E13" s="2" t="s">
        <v>80</v>
      </c>
      <c r="F13" s="4">
        <v>6</v>
      </c>
      <c r="G13" s="3">
        <v>120</v>
      </c>
      <c r="H13" s="7">
        <v>15</v>
      </c>
    </row>
    <row r="14" spans="2:10" x14ac:dyDescent="0.25">
      <c r="B14" s="16">
        <v>12</v>
      </c>
      <c r="C14" s="16" t="s">
        <v>70</v>
      </c>
      <c r="D14" s="11" t="s">
        <v>32</v>
      </c>
      <c r="E14" s="11" t="s">
        <v>84</v>
      </c>
      <c r="F14" s="17">
        <v>8</v>
      </c>
      <c r="G14" s="16">
        <v>160</v>
      </c>
      <c r="H14" s="18">
        <v>25</v>
      </c>
      <c r="J14" s="13"/>
    </row>
    <row r="15" spans="2:10" ht="15" customHeight="1" x14ac:dyDescent="0.25">
      <c r="B15" s="15">
        <v>13</v>
      </c>
      <c r="C15" s="3" t="s">
        <v>79</v>
      </c>
      <c r="D15" s="10" t="s">
        <v>59</v>
      </c>
      <c r="E15" s="2" t="s">
        <v>82</v>
      </c>
      <c r="F15" s="4">
        <v>6</v>
      </c>
      <c r="G15" s="3">
        <v>120</v>
      </c>
      <c r="H15" s="7">
        <v>15</v>
      </c>
    </row>
    <row r="16" spans="2:10" ht="15" customHeight="1" x14ac:dyDescent="0.25">
      <c r="B16" s="15">
        <v>14</v>
      </c>
      <c r="C16" s="3" t="s">
        <v>79</v>
      </c>
      <c r="D16" s="10" t="s">
        <v>58</v>
      </c>
      <c r="E16" s="2" t="s">
        <v>82</v>
      </c>
      <c r="F16" s="4">
        <v>6</v>
      </c>
      <c r="G16" s="3">
        <v>120</v>
      </c>
      <c r="H16" s="7">
        <v>15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9CB45-F1AD-446F-B816-B554A8C5C910}">
  <sheetPr codeName="Planilha6"/>
  <dimension ref="B2:B9"/>
  <sheetViews>
    <sheetView showGridLines="0" workbookViewId="0">
      <selection activeCell="H26" sqref="H26"/>
    </sheetView>
  </sheetViews>
  <sheetFormatPr defaultRowHeight="15" x14ac:dyDescent="0.25"/>
  <cols>
    <col min="2" max="2" width="15.42578125" bestFit="1" customWidth="1"/>
  </cols>
  <sheetData>
    <row r="2" spans="2:2" x14ac:dyDescent="0.25">
      <c r="B2" s="8" t="s">
        <v>2</v>
      </c>
    </row>
    <row r="3" spans="2:2" x14ac:dyDescent="0.25">
      <c r="B3" s="2" t="s">
        <v>28</v>
      </c>
    </row>
    <row r="4" spans="2:2" x14ac:dyDescent="0.25">
      <c r="B4" s="2" t="s">
        <v>22</v>
      </c>
    </row>
    <row r="5" spans="2:2" x14ac:dyDescent="0.25">
      <c r="B5" s="2" t="s">
        <v>13</v>
      </c>
    </row>
    <row r="6" spans="2:2" x14ac:dyDescent="0.25">
      <c r="B6" s="2" t="s">
        <v>16</v>
      </c>
    </row>
    <row r="7" spans="2:2" x14ac:dyDescent="0.25">
      <c r="B7" s="2" t="s">
        <v>85</v>
      </c>
    </row>
    <row r="8" spans="2:2" x14ac:dyDescent="0.25">
      <c r="B8" s="11" t="s">
        <v>8</v>
      </c>
    </row>
    <row r="9" spans="2:2" x14ac:dyDescent="0.25">
      <c r="B9" s="10" t="s">
        <v>31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CD8A-9A17-4E4E-91F4-FFFE886E164E}">
  <sheetPr codeName="Planilha7"/>
  <dimension ref="B2:B32"/>
  <sheetViews>
    <sheetView showGridLines="0" workbookViewId="0">
      <selection activeCell="H26" sqref="H26"/>
    </sheetView>
  </sheetViews>
  <sheetFormatPr defaultRowHeight="15" x14ac:dyDescent="0.25"/>
  <cols>
    <col min="2" max="2" width="25.28515625" customWidth="1"/>
  </cols>
  <sheetData>
    <row r="2" spans="2:2" x14ac:dyDescent="0.25">
      <c r="B2" s="8" t="s">
        <v>3</v>
      </c>
    </row>
    <row r="3" spans="2:2" x14ac:dyDescent="0.25">
      <c r="B3" s="2" t="s">
        <v>15</v>
      </c>
    </row>
    <row r="4" spans="2:2" x14ac:dyDescent="0.25">
      <c r="B4" s="2" t="s">
        <v>14</v>
      </c>
    </row>
    <row r="5" spans="2:2" x14ac:dyDescent="0.25">
      <c r="B5" s="2" t="s">
        <v>18</v>
      </c>
    </row>
    <row r="6" spans="2:2" x14ac:dyDescent="0.25">
      <c r="B6" s="2" t="s">
        <v>86</v>
      </c>
    </row>
    <row r="7" spans="2:2" x14ac:dyDescent="0.25">
      <c r="B7" s="2" t="s">
        <v>17</v>
      </c>
    </row>
    <row r="8" spans="2:2" x14ac:dyDescent="0.25">
      <c r="B8" s="2" t="s">
        <v>30</v>
      </c>
    </row>
    <row r="9" spans="2:2" x14ac:dyDescent="0.25">
      <c r="B9" s="11" t="s">
        <v>9</v>
      </c>
    </row>
    <row r="10" spans="2:2" x14ac:dyDescent="0.25">
      <c r="B10" s="12" t="s">
        <v>19</v>
      </c>
    </row>
    <row r="11" spans="2:2" x14ac:dyDescent="0.25">
      <c r="B11" s="10" t="s">
        <v>87</v>
      </c>
    </row>
    <row r="12" spans="2:2" x14ac:dyDescent="0.25">
      <c r="B12" s="10" t="s">
        <v>34</v>
      </c>
    </row>
    <row r="13" spans="2:2" x14ac:dyDescent="0.25">
      <c r="B13" s="10"/>
    </row>
    <row r="14" spans="2:2" x14ac:dyDescent="0.25">
      <c r="B14" s="10"/>
    </row>
    <row r="15" spans="2:2" x14ac:dyDescent="0.25">
      <c r="B15" s="10"/>
    </row>
    <row r="16" spans="2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  <row r="25" spans="2:2" x14ac:dyDescent="0.25">
      <c r="B25" s="10"/>
    </row>
    <row r="26" spans="2:2" x14ac:dyDescent="0.25">
      <c r="B26" s="10"/>
    </row>
    <row r="27" spans="2:2" x14ac:dyDescent="0.25">
      <c r="B27" s="10"/>
    </row>
    <row r="28" spans="2:2" x14ac:dyDescent="0.25">
      <c r="B28" s="10"/>
    </row>
    <row r="29" spans="2:2" x14ac:dyDescent="0.25">
      <c r="B29" s="10"/>
    </row>
    <row r="30" spans="2:2" x14ac:dyDescent="0.25">
      <c r="B30" s="10"/>
    </row>
    <row r="31" spans="2:2" x14ac:dyDescent="0.25">
      <c r="B31" s="10"/>
    </row>
    <row r="32" spans="2:2" x14ac:dyDescent="0.25">
      <c r="B32" s="1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0472-DDCB-4281-AD80-2B74383111B4}">
  <sheetPr codeName="Planilha8"/>
  <dimension ref="B2:B4"/>
  <sheetViews>
    <sheetView showGridLines="0" workbookViewId="0">
      <selection activeCell="H26" sqref="H26"/>
    </sheetView>
  </sheetViews>
  <sheetFormatPr defaultRowHeight="15" x14ac:dyDescent="0.25"/>
  <cols>
    <col min="2" max="2" width="16.28515625" bestFit="1" customWidth="1"/>
  </cols>
  <sheetData>
    <row r="2" spans="2:2" x14ac:dyDescent="0.25">
      <c r="B2" s="8" t="s">
        <v>88</v>
      </c>
    </row>
    <row r="3" spans="2:2" x14ac:dyDescent="0.25">
      <c r="B3" s="2" t="s">
        <v>7</v>
      </c>
    </row>
    <row r="4" spans="2:2" x14ac:dyDescent="0.25">
      <c r="B4" s="2" t="s">
        <v>29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D82F2-24E0-430D-9792-7E8B894A505F}">
  <sheetPr codeName="Planilha9"/>
  <dimension ref="B2:B6"/>
  <sheetViews>
    <sheetView showGridLines="0" workbookViewId="0">
      <selection activeCell="H26" sqref="H26"/>
    </sheetView>
  </sheetViews>
  <sheetFormatPr defaultRowHeight="15" x14ac:dyDescent="0.25"/>
  <cols>
    <col min="2" max="2" width="14" bestFit="1" customWidth="1"/>
  </cols>
  <sheetData>
    <row r="2" spans="2:2" x14ac:dyDescent="0.25">
      <c r="B2" s="8" t="s">
        <v>89</v>
      </c>
    </row>
    <row r="3" spans="2:2" x14ac:dyDescent="0.25">
      <c r="B3" s="2" t="s">
        <v>36</v>
      </c>
    </row>
    <row r="4" spans="2:2" x14ac:dyDescent="0.25">
      <c r="B4" s="2" t="s">
        <v>10</v>
      </c>
    </row>
    <row r="5" spans="2:2" x14ac:dyDescent="0.25">
      <c r="B5" s="2" t="s">
        <v>23</v>
      </c>
    </row>
    <row r="6" spans="2:2" x14ac:dyDescent="0.25">
      <c r="B6" s="2" t="s">
        <v>6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65AE1-4412-4ABC-9443-718A391B6DA1}">
  <sheetPr codeName="Planilha10"/>
  <dimension ref="B2:B35"/>
  <sheetViews>
    <sheetView showGridLines="0" workbookViewId="0">
      <selection activeCell="H26" sqref="H26"/>
    </sheetView>
  </sheetViews>
  <sheetFormatPr defaultRowHeight="15" x14ac:dyDescent="0.25"/>
  <cols>
    <col min="2" max="2" width="21.85546875" bestFit="1" customWidth="1"/>
  </cols>
  <sheetData>
    <row r="2" spans="2:2" x14ac:dyDescent="0.25">
      <c r="B2" s="8" t="s">
        <v>0</v>
      </c>
    </row>
    <row r="3" spans="2:2" x14ac:dyDescent="0.25">
      <c r="B3" s="2" t="s">
        <v>4</v>
      </c>
    </row>
    <row r="4" spans="2:2" x14ac:dyDescent="0.25">
      <c r="B4" s="2" t="s">
        <v>11</v>
      </c>
    </row>
    <row r="5" spans="2:2" x14ac:dyDescent="0.25">
      <c r="B5" s="11" t="s">
        <v>20</v>
      </c>
    </row>
    <row r="6" spans="2:2" x14ac:dyDescent="0.25">
      <c r="B6" s="10" t="s">
        <v>27</v>
      </c>
    </row>
    <row r="7" spans="2:2" x14ac:dyDescent="0.25">
      <c r="B7" s="10"/>
    </row>
    <row r="8" spans="2:2" x14ac:dyDescent="0.25">
      <c r="B8" s="10"/>
    </row>
    <row r="9" spans="2:2" x14ac:dyDescent="0.25">
      <c r="B9" s="10"/>
    </row>
    <row r="10" spans="2:2" x14ac:dyDescent="0.25">
      <c r="B10" s="10"/>
    </row>
    <row r="11" spans="2:2" x14ac:dyDescent="0.25">
      <c r="B11" s="10"/>
    </row>
    <row r="12" spans="2:2" x14ac:dyDescent="0.25">
      <c r="B12" s="10"/>
    </row>
    <row r="13" spans="2:2" x14ac:dyDescent="0.25">
      <c r="B13" s="10"/>
    </row>
    <row r="14" spans="2:2" x14ac:dyDescent="0.25">
      <c r="B14" s="10"/>
    </row>
    <row r="15" spans="2:2" x14ac:dyDescent="0.25">
      <c r="B15" s="10"/>
    </row>
    <row r="16" spans="2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  <row r="25" spans="2:2" x14ac:dyDescent="0.25">
      <c r="B25" s="10"/>
    </row>
    <row r="26" spans="2:2" x14ac:dyDescent="0.25">
      <c r="B26" s="10"/>
    </row>
    <row r="27" spans="2:2" x14ac:dyDescent="0.25">
      <c r="B27" s="10"/>
    </row>
    <row r="28" spans="2:2" x14ac:dyDescent="0.25">
      <c r="B28" s="10"/>
    </row>
    <row r="29" spans="2:2" x14ac:dyDescent="0.25">
      <c r="B29" s="10"/>
    </row>
    <row r="30" spans="2:2" x14ac:dyDescent="0.25">
      <c r="B30" s="10"/>
    </row>
    <row r="31" spans="2:2" x14ac:dyDescent="0.25">
      <c r="B31" s="10"/>
    </row>
    <row r="32" spans="2:2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7E633-D68A-4B3F-AA46-AD463D1D5C52}">
  <sheetPr codeName="Planilha11"/>
  <dimension ref="A1:A21"/>
  <sheetViews>
    <sheetView showGridLines="0" workbookViewId="0">
      <selection activeCell="C15" sqref="C15"/>
    </sheetView>
  </sheetViews>
  <sheetFormatPr defaultRowHeight="15" x14ac:dyDescent="0.25"/>
  <cols>
    <col min="1" max="1" width="26.42578125" customWidth="1"/>
    <col min="2" max="2" width="18.28515625" customWidth="1"/>
  </cols>
  <sheetData>
    <row r="1" spans="1:1" x14ac:dyDescent="0.25">
      <c r="A1" s="9" t="s">
        <v>90</v>
      </c>
    </row>
    <row r="2" spans="1:1" x14ac:dyDescent="0.25">
      <c r="A2" s="2" t="s">
        <v>45</v>
      </c>
    </row>
    <row r="3" spans="1:1" x14ac:dyDescent="0.25">
      <c r="A3" s="2" t="s">
        <v>40</v>
      </c>
    </row>
    <row r="4" spans="1:1" x14ac:dyDescent="0.25">
      <c r="A4" s="2" t="s">
        <v>43</v>
      </c>
    </row>
    <row r="5" spans="1:1" x14ac:dyDescent="0.25">
      <c r="A5" s="2" t="s">
        <v>46</v>
      </c>
    </row>
    <row r="6" spans="1:1" x14ac:dyDescent="0.25">
      <c r="A6" s="2" t="s">
        <v>28</v>
      </c>
    </row>
    <row r="7" spans="1:1" x14ac:dyDescent="0.25">
      <c r="A7" s="2" t="s">
        <v>37</v>
      </c>
    </row>
    <row r="8" spans="1:1" x14ac:dyDescent="0.25">
      <c r="A8" s="2" t="s">
        <v>41</v>
      </c>
    </row>
    <row r="9" spans="1:1" x14ac:dyDescent="0.25">
      <c r="A9" s="2" t="s">
        <v>39</v>
      </c>
    </row>
    <row r="10" spans="1:1" x14ac:dyDescent="0.25">
      <c r="A10" s="2" t="s">
        <v>44</v>
      </c>
    </row>
    <row r="11" spans="1:1" x14ac:dyDescent="0.25">
      <c r="A11" s="2" t="s">
        <v>42</v>
      </c>
    </row>
    <row r="12" spans="1:1" x14ac:dyDescent="0.25">
      <c r="A12" s="2" t="s">
        <v>49</v>
      </c>
    </row>
    <row r="13" spans="1:1" x14ac:dyDescent="0.25">
      <c r="A13" s="11" t="s">
        <v>52</v>
      </c>
    </row>
    <row r="14" spans="1:1" x14ac:dyDescent="0.25">
      <c r="A14" s="12" t="s">
        <v>13</v>
      </c>
    </row>
    <row r="15" spans="1:1" x14ac:dyDescent="0.25">
      <c r="A15" s="12" t="s">
        <v>60</v>
      </c>
    </row>
    <row r="16" spans="1:1" x14ac:dyDescent="0.25">
      <c r="A16" s="12" t="s">
        <v>8</v>
      </c>
    </row>
    <row r="17" spans="1:1" x14ac:dyDescent="0.25">
      <c r="A17" s="12" t="s">
        <v>48</v>
      </c>
    </row>
    <row r="18" spans="1:1" x14ac:dyDescent="0.25">
      <c r="A18" s="12" t="s">
        <v>51</v>
      </c>
    </row>
    <row r="19" spans="1:1" x14ac:dyDescent="0.25">
      <c r="A19" s="10" t="s">
        <v>53</v>
      </c>
    </row>
    <row r="20" spans="1:1" x14ac:dyDescent="0.25">
      <c r="A20" s="10" t="s">
        <v>54</v>
      </c>
    </row>
    <row r="21" spans="1:1" x14ac:dyDescent="0.25">
      <c r="A21" s="10" t="s">
        <v>61</v>
      </c>
    </row>
  </sheetData>
  <sheetProtection sheet="1" objects="1" scenarios="1"/>
  <sortState xmlns:xlrd2="http://schemas.microsoft.com/office/spreadsheetml/2017/richdata2" ref="A2:A11">
    <sortCondition ref="A2:A11"/>
  </sortState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5ACA3-F587-42D5-A4E3-A2BACC435301}">
  <sheetPr codeName="Planilha12"/>
  <dimension ref="A1:AV11"/>
  <sheetViews>
    <sheetView workbookViewId="0">
      <selection activeCell="F17" sqref="E14:F17"/>
    </sheetView>
  </sheetViews>
  <sheetFormatPr defaultRowHeight="15" x14ac:dyDescent="0.25"/>
  <cols>
    <col min="1" max="1" width="22.5703125" customWidth="1"/>
    <col min="2" max="2" width="11.7109375" customWidth="1"/>
    <col min="3" max="3" width="11.5703125" customWidth="1"/>
    <col min="9" max="9" width="11.42578125" customWidth="1"/>
    <col min="12" max="12" width="11.140625" customWidth="1"/>
    <col min="13" max="13" width="10.85546875" customWidth="1"/>
  </cols>
  <sheetData>
    <row r="1" spans="1:48" x14ac:dyDescent="0.25">
      <c r="A1" s="14" t="s">
        <v>91</v>
      </c>
      <c r="B1" s="14">
        <v>2</v>
      </c>
      <c r="C1" s="14">
        <v>3</v>
      </c>
      <c r="D1" s="14">
        <v>4</v>
      </c>
      <c r="E1" s="14">
        <v>5</v>
      </c>
      <c r="F1" s="14">
        <v>6</v>
      </c>
      <c r="G1" s="14">
        <v>7</v>
      </c>
      <c r="H1" s="14">
        <v>8</v>
      </c>
      <c r="I1" s="14">
        <v>9</v>
      </c>
      <c r="J1" s="14">
        <v>10</v>
      </c>
      <c r="K1" s="14">
        <v>11</v>
      </c>
      <c r="L1" s="14">
        <v>12</v>
      </c>
      <c r="M1" s="14">
        <v>13</v>
      </c>
      <c r="N1" s="14">
        <v>14</v>
      </c>
      <c r="O1" s="14">
        <v>15</v>
      </c>
      <c r="P1" s="14">
        <v>16</v>
      </c>
      <c r="Q1" s="14">
        <v>17</v>
      </c>
      <c r="R1" s="14">
        <v>18</v>
      </c>
      <c r="S1" s="14">
        <v>19</v>
      </c>
      <c r="T1" s="14">
        <v>20</v>
      </c>
      <c r="U1" s="14">
        <v>21</v>
      </c>
      <c r="V1" s="14">
        <v>22</v>
      </c>
      <c r="W1" s="14" t="s">
        <v>92</v>
      </c>
      <c r="X1" s="14">
        <v>24</v>
      </c>
      <c r="Y1" s="14">
        <v>25</v>
      </c>
      <c r="Z1" s="14">
        <v>26</v>
      </c>
      <c r="AA1" s="14">
        <v>27</v>
      </c>
      <c r="AB1" s="14">
        <v>28</v>
      </c>
      <c r="AC1" s="14">
        <v>29</v>
      </c>
      <c r="AD1" s="14">
        <v>30</v>
      </c>
      <c r="AE1" s="14">
        <v>31</v>
      </c>
      <c r="AF1" s="14">
        <v>32</v>
      </c>
      <c r="AG1" s="14">
        <v>33</v>
      </c>
      <c r="AH1" s="14">
        <v>34</v>
      </c>
      <c r="AI1" s="14">
        <v>35</v>
      </c>
      <c r="AJ1" s="14">
        <v>36</v>
      </c>
      <c r="AK1" s="14">
        <v>37</v>
      </c>
      <c r="AL1" s="14">
        <v>38</v>
      </c>
      <c r="AM1" s="14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</row>
    <row r="2" spans="1:48" x14ac:dyDescent="0.25">
      <c r="A2" s="2" t="s">
        <v>37</v>
      </c>
      <c r="B2" s="2" t="s">
        <v>37</v>
      </c>
      <c r="C2" s="2" t="s">
        <v>49</v>
      </c>
      <c r="D2" s="2" t="s">
        <v>39</v>
      </c>
      <c r="E2" s="2" t="s">
        <v>39</v>
      </c>
      <c r="F2" s="2" t="s">
        <v>39</v>
      </c>
      <c r="G2" s="2" t="s">
        <v>39</v>
      </c>
      <c r="H2" s="2" t="s">
        <v>39</v>
      </c>
      <c r="I2" s="2" t="s">
        <v>39</v>
      </c>
      <c r="J2" s="2" t="s">
        <v>39</v>
      </c>
      <c r="K2" s="2" t="s">
        <v>39</v>
      </c>
      <c r="L2" s="2" t="s">
        <v>39</v>
      </c>
      <c r="M2" s="2" t="s">
        <v>39</v>
      </c>
      <c r="N2" s="2" t="s">
        <v>39</v>
      </c>
      <c r="O2" s="2" t="s">
        <v>39</v>
      </c>
      <c r="P2" s="2" t="s">
        <v>39</v>
      </c>
      <c r="Q2" s="2" t="s">
        <v>39</v>
      </c>
      <c r="R2" s="2" t="s">
        <v>40</v>
      </c>
      <c r="S2" s="2" t="s">
        <v>8</v>
      </c>
      <c r="T2" s="2" t="s">
        <v>8</v>
      </c>
      <c r="U2" s="2" t="s">
        <v>8</v>
      </c>
      <c r="V2" s="2" t="s">
        <v>40</v>
      </c>
      <c r="W2" s="2" t="s">
        <v>39</v>
      </c>
      <c r="X2" s="2" t="s">
        <v>39</v>
      </c>
      <c r="Y2" s="2" t="s">
        <v>39</v>
      </c>
      <c r="AA2" s="2" t="s">
        <v>37</v>
      </c>
      <c r="AB2" s="2" t="s">
        <v>37</v>
      </c>
      <c r="AC2" s="2" t="s">
        <v>37</v>
      </c>
      <c r="AD2" s="2" t="s">
        <v>39</v>
      </c>
      <c r="AE2" s="2" t="s">
        <v>39</v>
      </c>
      <c r="AF2" s="2" t="s">
        <v>51</v>
      </c>
      <c r="AG2" s="2" t="s">
        <v>45</v>
      </c>
      <c r="AH2" s="2" t="s">
        <v>40</v>
      </c>
      <c r="AJ2" s="2" t="s">
        <v>37</v>
      </c>
      <c r="AK2" s="2" t="s">
        <v>37</v>
      </c>
      <c r="AL2" s="2" t="s">
        <v>44</v>
      </c>
      <c r="AM2" s="2" t="s">
        <v>39</v>
      </c>
    </row>
    <row r="3" spans="1:48" x14ac:dyDescent="0.25">
      <c r="A3" s="2" t="s">
        <v>43</v>
      </c>
      <c r="B3" s="2" t="s">
        <v>40</v>
      </c>
      <c r="C3" s="2" t="s">
        <v>52</v>
      </c>
      <c r="D3" s="2" t="s">
        <v>43</v>
      </c>
      <c r="E3" s="2" t="s">
        <v>43</v>
      </c>
      <c r="F3" s="2" t="s">
        <v>43</v>
      </c>
      <c r="G3" s="2" t="s">
        <v>43</v>
      </c>
      <c r="H3" s="2" t="s">
        <v>43</v>
      </c>
      <c r="I3" s="2" t="s">
        <v>40</v>
      </c>
      <c r="J3" s="2" t="s">
        <v>43</v>
      </c>
      <c r="K3" s="2" t="s">
        <v>40</v>
      </c>
      <c r="L3" s="2" t="s">
        <v>37</v>
      </c>
      <c r="M3" s="2" t="s">
        <v>41</v>
      </c>
      <c r="N3" s="2" t="s">
        <v>40</v>
      </c>
      <c r="O3" s="2" t="s">
        <v>40</v>
      </c>
      <c r="P3" s="2" t="s">
        <v>40</v>
      </c>
      <c r="Q3" s="2" t="s">
        <v>40</v>
      </c>
      <c r="R3" s="2" t="s">
        <v>45</v>
      </c>
      <c r="S3" s="2" t="s">
        <v>43</v>
      </c>
      <c r="T3" s="2" t="s">
        <v>43</v>
      </c>
      <c r="U3" s="2" t="s">
        <v>43</v>
      </c>
      <c r="V3" s="2" t="s">
        <v>46</v>
      </c>
      <c r="W3" s="2" t="s">
        <v>40</v>
      </c>
      <c r="X3" s="2" t="s">
        <v>43</v>
      </c>
      <c r="Y3" s="2" t="s">
        <v>45</v>
      </c>
      <c r="AA3" s="2" t="s">
        <v>46</v>
      </c>
      <c r="AB3" s="2" t="s">
        <v>46</v>
      </c>
      <c r="AC3" s="2" t="s">
        <v>46</v>
      </c>
      <c r="AD3" s="2" t="s">
        <v>40</v>
      </c>
      <c r="AE3" s="2" t="s">
        <v>41</v>
      </c>
      <c r="AG3" s="2" t="s">
        <v>8</v>
      </c>
      <c r="AH3" s="2" t="s">
        <v>41</v>
      </c>
      <c r="AJ3" s="2" t="s">
        <v>53</v>
      </c>
      <c r="AK3" s="2" t="s">
        <v>53</v>
      </c>
      <c r="AL3" s="2" t="s">
        <v>41</v>
      </c>
      <c r="AM3" s="2" t="s">
        <v>37</v>
      </c>
    </row>
    <row r="4" spans="1:48" x14ac:dyDescent="0.25">
      <c r="A4" s="2" t="s">
        <v>44</v>
      </c>
      <c r="B4" s="2" t="s">
        <v>43</v>
      </c>
      <c r="C4" s="2" t="s">
        <v>41</v>
      </c>
      <c r="D4" s="2" t="s">
        <v>44</v>
      </c>
      <c r="E4" s="2" t="s">
        <v>44</v>
      </c>
      <c r="F4" s="2" t="s">
        <v>44</v>
      </c>
      <c r="G4" s="2" t="s">
        <v>44</v>
      </c>
      <c r="H4" s="2" t="s">
        <v>44</v>
      </c>
      <c r="I4" s="2" t="s">
        <v>41</v>
      </c>
      <c r="J4" s="2" t="s">
        <v>44</v>
      </c>
      <c r="K4" s="2" t="s">
        <v>46</v>
      </c>
      <c r="L4" s="2" t="s">
        <v>46</v>
      </c>
      <c r="M4" s="2" t="s">
        <v>44</v>
      </c>
      <c r="N4" s="2" t="s">
        <v>46</v>
      </c>
      <c r="O4" s="2" t="s">
        <v>43</v>
      </c>
      <c r="P4" s="2" t="s">
        <v>43</v>
      </c>
      <c r="Q4" s="2" t="s">
        <v>43</v>
      </c>
      <c r="R4" s="2" t="s">
        <v>43</v>
      </c>
      <c r="S4" s="2" t="s">
        <v>44</v>
      </c>
      <c r="T4" s="2" t="s">
        <v>44</v>
      </c>
      <c r="U4" s="2" t="s">
        <v>44</v>
      </c>
      <c r="V4" s="2" t="s">
        <v>43</v>
      </c>
      <c r="W4" s="2" t="s">
        <v>44</v>
      </c>
      <c r="X4" s="2" t="s">
        <v>44</v>
      </c>
      <c r="Y4" s="2" t="s">
        <v>43</v>
      </c>
      <c r="AA4" s="2" t="s">
        <v>44</v>
      </c>
      <c r="AB4" s="2" t="s">
        <v>44</v>
      </c>
      <c r="AC4" s="2" t="s">
        <v>44</v>
      </c>
      <c r="AD4" s="2" t="s">
        <v>48</v>
      </c>
      <c r="AE4" s="2" t="s">
        <v>8</v>
      </c>
      <c r="AJ4" s="2" t="s">
        <v>39</v>
      </c>
      <c r="AK4" s="2" t="s">
        <v>39</v>
      </c>
      <c r="AL4" s="2" t="s">
        <v>42</v>
      </c>
      <c r="AM4" s="2" t="s">
        <v>48</v>
      </c>
    </row>
    <row r="5" spans="1:48" x14ac:dyDescent="0.25">
      <c r="A5" s="2" t="s">
        <v>28</v>
      </c>
      <c r="B5" s="2" t="s">
        <v>44</v>
      </c>
      <c r="C5" s="2" t="s">
        <v>45</v>
      </c>
      <c r="D5" s="2" t="s">
        <v>42</v>
      </c>
      <c r="E5" s="2" t="s">
        <v>42</v>
      </c>
      <c r="F5" s="2" t="s">
        <v>45</v>
      </c>
      <c r="G5" s="2" t="s">
        <v>42</v>
      </c>
      <c r="H5" s="2" t="s">
        <v>42</v>
      </c>
      <c r="I5" s="2" t="s">
        <v>42</v>
      </c>
      <c r="J5" s="2" t="s">
        <v>41</v>
      </c>
      <c r="K5" s="2" t="s">
        <v>42</v>
      </c>
      <c r="L5" s="2" t="s">
        <v>43</v>
      </c>
      <c r="M5" s="2" t="s">
        <v>42</v>
      </c>
      <c r="N5" s="2" t="s">
        <v>43</v>
      </c>
      <c r="O5" s="2" t="s">
        <v>44</v>
      </c>
      <c r="P5" s="2" t="s">
        <v>44</v>
      </c>
      <c r="Q5" s="2" t="s">
        <v>44</v>
      </c>
      <c r="R5" s="2" t="s">
        <v>44</v>
      </c>
      <c r="S5" s="2" t="s">
        <v>28</v>
      </c>
      <c r="T5" s="2" t="s">
        <v>28</v>
      </c>
      <c r="V5" s="2" t="s">
        <v>44</v>
      </c>
      <c r="W5" s="2" t="s">
        <v>28</v>
      </c>
      <c r="X5" s="2" t="s">
        <v>42</v>
      </c>
      <c r="Y5" s="2" t="s">
        <v>44</v>
      </c>
      <c r="AA5" s="2" t="s">
        <v>41</v>
      </c>
      <c r="AB5" s="2" t="s">
        <v>41</v>
      </c>
      <c r="AC5" s="2" t="s">
        <v>41</v>
      </c>
      <c r="AD5" s="2" t="s">
        <v>43</v>
      </c>
      <c r="AJ5" s="2" t="s">
        <v>54</v>
      </c>
      <c r="AK5" s="2" t="s">
        <v>54</v>
      </c>
      <c r="AM5" s="2" t="s">
        <v>53</v>
      </c>
    </row>
    <row r="6" spans="1:48" x14ac:dyDescent="0.25">
      <c r="A6" s="11" t="s">
        <v>45</v>
      </c>
      <c r="B6" s="2" t="s">
        <v>28</v>
      </c>
      <c r="I6" s="2" t="s">
        <v>45</v>
      </c>
      <c r="J6" s="2" t="s">
        <v>42</v>
      </c>
      <c r="K6" s="2" t="s">
        <v>43</v>
      </c>
      <c r="L6" s="2" t="s">
        <v>44</v>
      </c>
      <c r="M6" s="2" t="s">
        <v>45</v>
      </c>
      <c r="N6" s="2" t="s">
        <v>44</v>
      </c>
      <c r="O6" s="2" t="s">
        <v>41</v>
      </c>
      <c r="P6" s="2" t="s">
        <v>28</v>
      </c>
      <c r="Q6" s="2" t="s">
        <v>28</v>
      </c>
      <c r="S6" s="2" t="s">
        <v>45</v>
      </c>
      <c r="T6" s="2" t="s">
        <v>45</v>
      </c>
      <c r="V6" s="2" t="s">
        <v>28</v>
      </c>
      <c r="W6" s="2" t="s">
        <v>45</v>
      </c>
      <c r="AA6" s="2" t="s">
        <v>45</v>
      </c>
      <c r="AB6" s="2" t="s">
        <v>45</v>
      </c>
      <c r="AC6" s="2" t="s">
        <v>45</v>
      </c>
      <c r="AJ6" s="2" t="s">
        <v>53</v>
      </c>
      <c r="AK6" s="2" t="s">
        <v>53</v>
      </c>
      <c r="AM6" s="2" t="s">
        <v>49</v>
      </c>
    </row>
    <row r="7" spans="1:48" x14ac:dyDescent="0.25">
      <c r="B7" s="2" t="s">
        <v>42</v>
      </c>
      <c r="J7" s="2" t="s">
        <v>45</v>
      </c>
      <c r="K7" s="2" t="s">
        <v>44</v>
      </c>
      <c r="L7" s="2" t="s">
        <v>41</v>
      </c>
      <c r="N7" s="2" t="s">
        <v>41</v>
      </c>
      <c r="O7" s="2" t="s">
        <v>42</v>
      </c>
      <c r="P7" s="2" t="s">
        <v>41</v>
      </c>
      <c r="Q7" s="2" t="s">
        <v>41</v>
      </c>
      <c r="V7" s="2" t="s">
        <v>42</v>
      </c>
      <c r="AM7" s="2" t="s">
        <v>52</v>
      </c>
    </row>
    <row r="8" spans="1:48" x14ac:dyDescent="0.25">
      <c r="B8" s="2" t="s">
        <v>39</v>
      </c>
      <c r="K8" s="2" t="s">
        <v>28</v>
      </c>
      <c r="L8" s="2" t="s">
        <v>42</v>
      </c>
      <c r="N8" s="2" t="s">
        <v>28</v>
      </c>
      <c r="O8" s="2" t="s">
        <v>13</v>
      </c>
      <c r="P8" s="2" t="s">
        <v>45</v>
      </c>
      <c r="Q8" s="2" t="s">
        <v>45</v>
      </c>
      <c r="V8" s="2" t="s">
        <v>45</v>
      </c>
      <c r="AM8" s="2" t="s">
        <v>44</v>
      </c>
    </row>
    <row r="9" spans="1:48" x14ac:dyDescent="0.25">
      <c r="K9" s="2" t="s">
        <v>41</v>
      </c>
      <c r="N9" s="2" t="s">
        <v>42</v>
      </c>
      <c r="O9" s="2" t="s">
        <v>60</v>
      </c>
      <c r="AM9" s="2" t="s">
        <v>28</v>
      </c>
    </row>
    <row r="10" spans="1:48" x14ac:dyDescent="0.25">
      <c r="K10" s="2" t="s">
        <v>45</v>
      </c>
      <c r="AM10" s="2" t="s">
        <v>41</v>
      </c>
    </row>
    <row r="11" spans="1:48" x14ac:dyDescent="0.25">
      <c r="AM11" s="2" t="s">
        <v>42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D20DF7-1E57-401C-AF7E-143F453A26AC}">
          <x14:formula1>
            <xm:f>'Etapas Macro'!$A$2:$A$13</xm:f>
          </x14:formula1>
          <xm:sqref>A2 B2:B8 C2:H5 I2:I6 J2:J7 K2:K10 L2:L8 M2:M6 N2:N9 O2:O6 P2:Q8 R2:R5</xm:sqref>
        </x14:dataValidation>
        <x14:dataValidation type="list" allowBlank="1" showInputMessage="1" showErrorMessage="1" xr:uid="{CBF40EF8-2D62-4FEB-A53B-8F24E7506B45}">
          <x14:formula1>
            <xm:f>'Etapas Macro'!$A$2:$A$11</xm:f>
          </x14:formula1>
          <xm:sqref>A3:A6</xm:sqref>
        </x14:dataValidation>
        <x14:dataValidation type="list" allowBlank="1" showInputMessage="1" showErrorMessage="1" xr:uid="{81EEFB32-41FA-4F1A-8939-B7787DAF6B97}">
          <x14:formula1>
            <xm:f>'Etapas Macro'!$A$2:$A$15</xm:f>
          </x14:formula1>
          <xm:sqref>O8:O9</xm:sqref>
        </x14:dataValidation>
        <x14:dataValidation type="list" allowBlank="1" showInputMessage="1" showErrorMessage="1" xr:uid="{4D0FE0AB-27EF-4F5B-BDEA-B69CEAA9E7F6}">
          <x14:formula1>
            <xm:f>'Etapas Macro'!$A$2:$A$14</xm:f>
          </x14:formula1>
          <xm:sqref>O7</xm:sqref>
        </x14:dataValidation>
        <x14:dataValidation type="list" allowBlank="1" showInputMessage="1" showErrorMessage="1" xr:uid="{6877A457-4979-4B62-AC87-10B9135A78F7}">
          <x14:formula1>
            <xm:f>'Etapas Macro'!$A$2:$A$17</xm:f>
          </x14:formula1>
          <xm:sqref>S2:T6 U2:U4 V2:V8 W2:W6 X2:Y5 AA2:AC6 AD2:AD5 AE2:AE4</xm:sqref>
        </x14:dataValidation>
        <x14:dataValidation type="list" allowBlank="1" showInputMessage="1" showErrorMessage="1" xr:uid="{BA514DD4-AB07-4B57-B2C2-558BFE341C10}">
          <x14:formula1>
            <xm:f>'Etapas Macro'!$A$2:$A$19</xm:f>
          </x14:formula1>
          <xm:sqref>AF2 AG2:AH3 AJ2:AL4 AJ6:AK6 AM2:AM11</xm:sqref>
        </x14:dataValidation>
        <x14:dataValidation type="list" allowBlank="1" showInputMessage="1" showErrorMessage="1" xr:uid="{92A92262-4E4B-489B-9620-7B52106EF31C}">
          <x14:formula1>
            <xm:f>'Etapas Macro'!$A$2:$A$21</xm:f>
          </x14:formula1>
          <xm:sqref>AJ5:AK5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4242-4EC7-4208-873B-A9E805BF9A27}">
  <sheetPr codeName="Planilha19">
    <tabColor rgb="FF00B0F0"/>
  </sheetPr>
  <dimension ref="A1:N39"/>
  <sheetViews>
    <sheetView showGridLines="0" showRowColHeaders="0" zoomScale="150" zoomScaleNormal="150" workbookViewId="0">
      <selection activeCell="D19" sqref="D19"/>
    </sheetView>
  </sheetViews>
  <sheetFormatPr defaultColWidth="0" defaultRowHeight="15" zeroHeight="1" x14ac:dyDescent="0.25"/>
  <cols>
    <col min="1" max="1" width="32.42578125" style="29" customWidth="1"/>
    <col min="2" max="2" width="2.7109375" style="29" customWidth="1"/>
    <col min="3" max="3" width="20.7109375" style="29" customWidth="1"/>
    <col min="4" max="4" width="38" style="29" customWidth="1"/>
    <col min="5" max="5" width="38.140625" style="29" customWidth="1"/>
    <col min="6" max="6" width="2.7109375" style="29" customWidth="1"/>
    <col min="7" max="7" width="9.140625" style="29" hidden="1"/>
    <col min="8" max="14" width="8.85546875" style="29" hidden="1"/>
    <col min="15" max="16384" width="9.140625" style="29" hidden="1"/>
  </cols>
  <sheetData>
    <row r="1" spans="1:6" ht="39.950000000000003" customHeight="1" x14ac:dyDescent="0.25">
      <c r="A1" s="128" t="e" vm="1">
        <v>#VALUE!</v>
      </c>
      <c r="B1" s="104"/>
      <c r="C1" s="105" t="s">
        <v>156</v>
      </c>
      <c r="D1" s="106"/>
      <c r="E1" s="106"/>
      <c r="F1" s="106"/>
    </row>
    <row r="2" spans="1:6" s="28" customFormat="1" ht="14.25" customHeight="1" x14ac:dyDescent="0.25">
      <c r="A2" s="107"/>
      <c r="B2" s="95"/>
      <c r="C2" s="95"/>
      <c r="D2" s="95"/>
      <c r="E2" s="95"/>
      <c r="F2" s="95"/>
    </row>
    <row r="3" spans="1:6" s="28" customFormat="1" ht="14.25" customHeight="1" x14ac:dyDescent="0.25">
      <c r="A3" s="108"/>
      <c r="B3" s="96"/>
      <c r="C3" s="122" t="s">
        <v>177</v>
      </c>
      <c r="D3" s="123"/>
      <c r="E3" s="124"/>
      <c r="F3" s="97"/>
    </row>
    <row r="4" spans="1:6" s="28" customFormat="1" ht="14.25" customHeight="1" x14ac:dyDescent="0.25">
      <c r="A4" s="108"/>
      <c r="B4" s="96"/>
      <c r="C4" s="125" t="str">
        <f>SUBSTITUTE(SUBSTITUTE(SUBSTITUTE(SUBSTITUTE(SUBSTITUTE(SUBSTITUTE(SUBSTITUTE(SUBSTITUTE(SUBSTITUTE(SUBSTITUTE(PROPER(_xlfn.XLOOKUP($D$7,Projetos!A:A,Projetos!B:B,"não encontrado",0)),"De","de"),"Da","da"),"Do","do"),"Das","das"),"Dos","dos"),"Em","em"),"E","e"),"Para","para"),"Por","por"),"Com","com")</f>
        <v/>
      </c>
      <c r="D4" s="126"/>
      <c r="E4" s="127"/>
      <c r="F4" s="97"/>
    </row>
    <row r="5" spans="1:6" s="28" customFormat="1" ht="15" customHeight="1" x14ac:dyDescent="0.25">
      <c r="A5" s="109"/>
      <c r="B5" s="98"/>
      <c r="C5" s="98"/>
      <c r="D5" s="98"/>
      <c r="E5" s="98"/>
      <c r="F5" s="95"/>
    </row>
    <row r="6" spans="1:6" s="28" customFormat="1" ht="15" customHeight="1" x14ac:dyDescent="0.25">
      <c r="A6" s="109"/>
      <c r="B6" s="98"/>
      <c r="C6" s="65" t="s">
        <v>174</v>
      </c>
      <c r="D6" s="116"/>
      <c r="E6" s="66"/>
      <c r="F6" s="95"/>
    </row>
    <row r="7" spans="1:6" s="28" customFormat="1" ht="15" customHeight="1" x14ac:dyDescent="0.25">
      <c r="A7" s="109"/>
      <c r="B7" s="98"/>
      <c r="C7" s="57" t="s">
        <v>150</v>
      </c>
      <c r="D7" s="113"/>
      <c r="E7" s="117"/>
      <c r="F7" s="95"/>
    </row>
    <row r="8" spans="1:6" s="28" customFormat="1" ht="15" customHeight="1" x14ac:dyDescent="0.25">
      <c r="A8" s="109"/>
      <c r="B8" s="98"/>
      <c r="C8" s="57" t="s">
        <v>149</v>
      </c>
      <c r="D8" s="115"/>
      <c r="E8" s="119"/>
      <c r="F8" s="95"/>
    </row>
    <row r="9" spans="1:6" s="28" customFormat="1" ht="15" customHeight="1" x14ac:dyDescent="0.25">
      <c r="A9" s="109"/>
      <c r="B9" s="98"/>
      <c r="C9" s="57" t="s">
        <v>93</v>
      </c>
      <c r="D9" s="113"/>
      <c r="E9" s="117"/>
      <c r="F9" s="95"/>
    </row>
    <row r="10" spans="1:6" s="28" customFormat="1" ht="15" customHeight="1" x14ac:dyDescent="0.25">
      <c r="A10" s="109"/>
      <c r="B10" s="98"/>
      <c r="C10" s="57" t="s">
        <v>154</v>
      </c>
      <c r="D10" s="113"/>
      <c r="E10" s="117"/>
      <c r="F10" s="95"/>
    </row>
    <row r="11" spans="1:6" s="28" customFormat="1" ht="15" customHeight="1" x14ac:dyDescent="0.25">
      <c r="A11" s="109"/>
      <c r="B11" s="98"/>
      <c r="C11" s="57" t="s">
        <v>94</v>
      </c>
      <c r="D11" s="113"/>
      <c r="E11" s="117"/>
      <c r="F11" s="95"/>
    </row>
    <row r="12" spans="1:6" s="28" customFormat="1" ht="15" customHeight="1" x14ac:dyDescent="0.25">
      <c r="A12" s="109"/>
      <c r="B12" s="99"/>
      <c r="C12" s="57" t="s">
        <v>175</v>
      </c>
      <c r="D12" s="113"/>
      <c r="E12" s="117"/>
      <c r="F12" s="95"/>
    </row>
    <row r="13" spans="1:6" s="28" customFormat="1" ht="15" customHeight="1" x14ac:dyDescent="0.25">
      <c r="A13" s="109"/>
      <c r="B13" s="95"/>
      <c r="C13" s="58" t="s">
        <v>176</v>
      </c>
      <c r="D13" s="130"/>
      <c r="E13" s="131"/>
      <c r="F13" s="95"/>
    </row>
    <row r="14" spans="1:6" s="28" customFormat="1" ht="15" customHeight="1" x14ac:dyDescent="0.25">
      <c r="A14" s="110"/>
      <c r="B14" s="95"/>
      <c r="C14" s="95"/>
      <c r="D14" s="95"/>
      <c r="E14" s="95"/>
      <c r="F14" s="95"/>
    </row>
    <row r="15" spans="1:6" s="28" customFormat="1" ht="15" customHeight="1" x14ac:dyDescent="0.25">
      <c r="A15" s="110"/>
      <c r="B15" s="95"/>
      <c r="C15" s="95"/>
      <c r="D15" s="100" t="str">
        <f>IF(D10="Fase não Prevista","ATENÇÃO! Insira em poucas palavras a FASE que não foi prevista no campo de observação.","")</f>
        <v/>
      </c>
      <c r="E15" s="100"/>
      <c r="F15" s="95"/>
    </row>
    <row r="16" spans="1:6" s="28" customFormat="1" ht="15" customHeight="1" x14ac:dyDescent="0.25">
      <c r="A16" s="110"/>
      <c r="B16" s="95"/>
      <c r="C16" s="95"/>
      <c r="D16" s="100"/>
      <c r="E16" s="100"/>
      <c r="F16" s="95"/>
    </row>
    <row r="17" spans="1:6" s="28" customFormat="1" ht="15" customHeight="1" x14ac:dyDescent="0.25">
      <c r="A17" s="110"/>
      <c r="B17" s="95"/>
      <c r="C17" s="95"/>
      <c r="D17" s="101"/>
      <c r="E17" s="101"/>
      <c r="F17" s="95"/>
    </row>
    <row r="18" spans="1:6" s="28" customFormat="1" ht="15" customHeight="1" x14ac:dyDescent="0.25">
      <c r="A18" s="110"/>
      <c r="B18" s="95"/>
      <c r="C18" s="95"/>
      <c r="D18" s="95"/>
      <c r="E18" s="102"/>
      <c r="F18" s="95"/>
    </row>
    <row r="19" spans="1:6" s="28" customFormat="1" ht="15" customHeight="1" x14ac:dyDescent="0.25">
      <c r="A19" s="110"/>
      <c r="B19" s="95"/>
      <c r="C19" s="95"/>
      <c r="D19" s="95"/>
      <c r="E19" s="102"/>
      <c r="F19" s="95"/>
    </row>
    <row r="20" spans="1:6" s="28" customFormat="1" ht="15" customHeight="1" x14ac:dyDescent="0.25">
      <c r="A20" s="110"/>
      <c r="B20" s="95"/>
      <c r="C20" s="95"/>
      <c r="D20" s="95"/>
      <c r="E20" s="102"/>
      <c r="F20" s="95"/>
    </row>
    <row r="21" spans="1:6" s="28" customFormat="1" ht="15" customHeight="1" x14ac:dyDescent="0.25">
      <c r="A21" s="110"/>
      <c r="B21" s="95"/>
      <c r="C21" s="95"/>
      <c r="D21" s="95"/>
      <c r="E21" s="95"/>
      <c r="F21" s="95"/>
    </row>
    <row r="22" spans="1:6" s="28" customFormat="1" ht="15" hidden="1" customHeight="1" x14ac:dyDescent="0.25"/>
    <row r="23" spans="1:6" s="28" customFormat="1" ht="15" hidden="1" customHeight="1" x14ac:dyDescent="0.25">
      <c r="D23" s="30"/>
    </row>
    <row r="24" spans="1:6" s="28" customFormat="1" hidden="1" x14ac:dyDescent="0.25">
      <c r="A24" s="29"/>
      <c r="D24" s="31"/>
      <c r="F24" s="29"/>
    </row>
    <row r="25" spans="1:6" hidden="1" x14ac:dyDescent="0.25">
      <c r="B25" s="28"/>
      <c r="C25" s="28"/>
      <c r="D25" s="30"/>
      <c r="E25" s="28"/>
    </row>
    <row r="26" spans="1:6" hidden="1" x14ac:dyDescent="0.25">
      <c r="B26" s="28"/>
      <c r="C26" s="28"/>
    </row>
    <row r="27" spans="1:6" hidden="1" x14ac:dyDescent="0.25">
      <c r="B27" s="28"/>
      <c r="C27" s="28"/>
    </row>
    <row r="33" s="29" customFormat="1" hidden="1" x14ac:dyDescent="0.25"/>
    <row r="34" s="29" customFormat="1" hidden="1" x14ac:dyDescent="0.25"/>
    <row r="35" s="29" customFormat="1" hidden="1" x14ac:dyDescent="0.25"/>
    <row r="36" s="29" customFormat="1" hidden="1" x14ac:dyDescent="0.25"/>
    <row r="37" s="29" customFormat="1" hidden="1" x14ac:dyDescent="0.25"/>
    <row r="38" s="29" customFormat="1" hidden="1" x14ac:dyDescent="0.25"/>
    <row r="39" s="29" customFormat="1" hidden="1" x14ac:dyDescent="0.25"/>
  </sheetData>
  <mergeCells count="11">
    <mergeCell ref="D15:E16"/>
    <mergeCell ref="D12:E12"/>
    <mergeCell ref="D13:E13"/>
    <mergeCell ref="C3:E3"/>
    <mergeCell ref="C4:E4"/>
    <mergeCell ref="C6:E6"/>
    <mergeCell ref="D7:E7"/>
    <mergeCell ref="D8:E8"/>
    <mergeCell ref="D9:E9"/>
    <mergeCell ref="D10:E10"/>
    <mergeCell ref="D11:E11"/>
  </mergeCells>
  <conditionalFormatting sqref="D15">
    <cfRule type="containsText" dxfId="0" priority="1" operator="containsText" text="ATENÇÃO! Insira em poucas palavras a FASE que não foi prevista no campo de observação.">
      <formula>NOT(ISERROR(SEARCH("ATENÇÃO! Insira em poucas palavras a FASE que não foi prevista no campo de observação.",D15)))</formula>
    </cfRule>
  </conditionalFormatting>
  <dataValidations count="1">
    <dataValidation type="date" allowBlank="1" showInputMessage="1" showErrorMessage="1" errorTitle="Atenção" error="Insira uma data válida!_x000a_" sqref="D8" xr:uid="{8C5F9853-3BC7-45F8-85B1-E49AE0428A62}">
      <formula1>36161</formula1>
      <formula2>82527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CF2850-BDE2-4822-89D7-81C08DF16194}">
          <x14:formula1>
            <xm:f>Auxiliar!$J:$J</xm:f>
          </x14:formula1>
          <xm:sqref>D9:E9</xm:sqref>
        </x14:dataValidation>
        <x14:dataValidation type="list" allowBlank="1" showInputMessage="1" showErrorMessage="1" xr:uid="{255B773D-9C70-4D98-A311-582CF6820DDC}">
          <x14:formula1>
            <xm:f>Auxiliar!$N:$N</xm:f>
          </x14:formula1>
          <xm:sqref>D10:E10</xm:sqref>
        </x14:dataValidation>
        <x14:dataValidation type="list" allowBlank="1" showInputMessage="1" showErrorMessage="1" xr:uid="{F0B5D9B9-C2D0-4FE1-8F75-7B0C24BED921}">
          <x14:formula1>
            <xm:f>Auxiliar!$D:$D</xm:f>
          </x14:formula1>
          <xm:sqref>D11:E11</xm:sqref>
        </x14:dataValidation>
        <x14:dataValidation type="list" allowBlank="1" showInputMessage="1" showErrorMessage="1" errorTitle="Atenção" error="Este número de projeto já existe na base." xr:uid="{63D5BCF6-76FD-4070-99D1-C32498767955}">
          <x14:formula1>
            <xm:f>Projetos!$A:$A</xm:f>
          </x14:formula1>
          <xm:sqref>D7:E7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69096-75E7-4D16-BC9C-6212517DC508}">
  <sheetPr codeName="Planilha17">
    <tabColor rgb="FF00B050"/>
  </sheetPr>
  <dimension ref="A1:N27"/>
  <sheetViews>
    <sheetView showGridLines="0" showRowColHeaders="0" zoomScale="150" zoomScaleNormal="150" workbookViewId="0"/>
  </sheetViews>
  <sheetFormatPr defaultColWidth="0" defaultRowHeight="15" zeroHeight="1" x14ac:dyDescent="0.25"/>
  <cols>
    <col min="1" max="1" width="32.42578125" style="29" customWidth="1"/>
    <col min="2" max="2" width="2.7109375" style="29" customWidth="1"/>
    <col min="3" max="3" width="20.7109375" style="29" customWidth="1"/>
    <col min="4" max="4" width="38.140625" style="29" customWidth="1"/>
    <col min="5" max="5" width="38" style="29" customWidth="1"/>
    <col min="6" max="6" width="2.7109375" style="29" customWidth="1"/>
    <col min="7" max="7" width="9.140625" style="29" hidden="1"/>
    <col min="8" max="14" width="8.85546875" style="29" hidden="1"/>
    <col min="15" max="16384" width="9.140625" style="29" hidden="1"/>
  </cols>
  <sheetData>
    <row r="1" spans="1:6" ht="39.950000000000003" customHeight="1" x14ac:dyDescent="0.25">
      <c r="A1" s="128" t="e" vm="1">
        <v>#VALUE!</v>
      </c>
      <c r="B1" s="104"/>
      <c r="C1" s="105" t="s">
        <v>156</v>
      </c>
      <c r="D1" s="106"/>
      <c r="E1" s="106"/>
      <c r="F1" s="106"/>
    </row>
    <row r="2" spans="1:6" s="28" customFormat="1" ht="14.25" customHeight="1" x14ac:dyDescent="0.25">
      <c r="A2" s="107"/>
      <c r="B2" s="95"/>
      <c r="C2" s="95"/>
      <c r="D2" s="95"/>
      <c r="E2" s="95"/>
      <c r="F2" s="95"/>
    </row>
    <row r="3" spans="1:6" s="28" customFormat="1" ht="14.25" customHeight="1" x14ac:dyDescent="0.25">
      <c r="A3" s="108"/>
      <c r="B3" s="96"/>
      <c r="C3" s="97"/>
      <c r="D3" s="96"/>
      <c r="E3" s="97"/>
      <c r="F3" s="97"/>
    </row>
    <row r="4" spans="1:6" s="28" customFormat="1" ht="14.25" customHeight="1" x14ac:dyDescent="0.25">
      <c r="A4" s="108"/>
      <c r="B4" s="96"/>
      <c r="C4" s="97"/>
      <c r="D4" s="96"/>
      <c r="E4" s="97"/>
      <c r="F4" s="97"/>
    </row>
    <row r="5" spans="1:6" s="28" customFormat="1" ht="15" customHeight="1" x14ac:dyDescent="0.25">
      <c r="A5" s="109"/>
      <c r="B5" s="98"/>
      <c r="C5" s="98"/>
      <c r="D5" s="98"/>
      <c r="E5" s="98"/>
      <c r="F5" s="95"/>
    </row>
    <row r="6" spans="1:6" s="28" customFormat="1" ht="15" customHeight="1" x14ac:dyDescent="0.25">
      <c r="A6" s="109"/>
      <c r="B6" s="98"/>
      <c r="C6" s="65" t="s">
        <v>155</v>
      </c>
      <c r="D6" s="116"/>
      <c r="E6" s="66"/>
      <c r="F6" s="95"/>
    </row>
    <row r="7" spans="1:6" s="28" customFormat="1" ht="15" customHeight="1" x14ac:dyDescent="0.25">
      <c r="A7" s="109"/>
      <c r="B7" s="98"/>
      <c r="C7" s="67"/>
      <c r="D7" s="112"/>
      <c r="E7" s="68"/>
      <c r="F7" s="95"/>
    </row>
    <row r="8" spans="1:6" s="28" customFormat="1" ht="15" customHeight="1" x14ac:dyDescent="0.25">
      <c r="A8" s="109"/>
      <c r="B8" s="98"/>
      <c r="C8" s="57" t="s">
        <v>150</v>
      </c>
      <c r="D8" s="113"/>
      <c r="E8" s="117"/>
      <c r="F8" s="95"/>
    </row>
    <row r="9" spans="1:6" s="28" customFormat="1" ht="15" customHeight="1" x14ac:dyDescent="0.25">
      <c r="A9" s="109"/>
      <c r="B9" s="98"/>
      <c r="C9" s="57" t="s">
        <v>1</v>
      </c>
      <c r="D9" s="113"/>
      <c r="E9" s="117"/>
      <c r="F9" s="95"/>
    </row>
    <row r="10" spans="1:6" s="28" customFormat="1" ht="15" customHeight="1" x14ac:dyDescent="0.25">
      <c r="A10" s="109"/>
      <c r="B10" s="98"/>
      <c r="C10" s="57" t="s">
        <v>144</v>
      </c>
      <c r="D10" s="113"/>
      <c r="E10" s="117"/>
      <c r="F10" s="95"/>
    </row>
    <row r="11" spans="1:6" s="28" customFormat="1" ht="15" customHeight="1" x14ac:dyDescent="0.25">
      <c r="A11" s="109"/>
      <c r="B11" s="98"/>
      <c r="C11" s="57" t="s">
        <v>151</v>
      </c>
      <c r="D11" s="114"/>
      <c r="E11" s="118"/>
      <c r="F11" s="95"/>
    </row>
    <row r="12" spans="1:6" s="28" customFormat="1" ht="15" customHeight="1" x14ac:dyDescent="0.25">
      <c r="A12" s="109"/>
      <c r="B12" s="99"/>
      <c r="C12" s="57" t="s">
        <v>148</v>
      </c>
      <c r="D12" s="113"/>
      <c r="E12" s="117"/>
      <c r="F12" s="95"/>
    </row>
    <row r="13" spans="1:6" s="28" customFormat="1" ht="15" customHeight="1" x14ac:dyDescent="0.25">
      <c r="A13" s="109"/>
      <c r="B13" s="98"/>
      <c r="C13" s="57" t="s">
        <v>153</v>
      </c>
      <c r="D13" s="113"/>
      <c r="E13" s="117"/>
      <c r="F13" s="95"/>
    </row>
    <row r="14" spans="1:6" s="28" customFormat="1" ht="15" customHeight="1" x14ac:dyDescent="0.25">
      <c r="A14" s="110"/>
      <c r="B14" s="95"/>
      <c r="C14" s="57" t="s">
        <v>149</v>
      </c>
      <c r="D14" s="115"/>
      <c r="E14" s="119"/>
      <c r="F14" s="95"/>
    </row>
    <row r="15" spans="1:6" s="28" customFormat="1" ht="15" customHeight="1" x14ac:dyDescent="0.25">
      <c r="A15" s="110"/>
      <c r="B15" s="95"/>
      <c r="C15" s="58" t="s">
        <v>152</v>
      </c>
      <c r="D15" s="120"/>
      <c r="E15" s="121"/>
      <c r="F15" s="95"/>
    </row>
    <row r="16" spans="1:6" s="28" customFormat="1" ht="15" customHeight="1" x14ac:dyDescent="0.25">
      <c r="A16" s="110"/>
      <c r="B16" s="95"/>
      <c r="C16" s="95"/>
      <c r="D16" s="95"/>
      <c r="E16" s="95"/>
      <c r="F16" s="95"/>
    </row>
    <row r="17" spans="1:6" s="28" customFormat="1" ht="15" customHeight="1" x14ac:dyDescent="0.25">
      <c r="A17" s="110"/>
      <c r="B17" s="95"/>
      <c r="C17" s="95"/>
      <c r="D17" s="95"/>
      <c r="E17" s="95"/>
      <c r="F17" s="95"/>
    </row>
    <row r="18" spans="1:6" s="28" customFormat="1" ht="15" customHeight="1" x14ac:dyDescent="0.25">
      <c r="A18" s="110"/>
      <c r="B18" s="95"/>
      <c r="C18" s="95"/>
      <c r="D18" s="95"/>
      <c r="E18" s="95"/>
      <c r="F18" s="95"/>
    </row>
    <row r="19" spans="1:6" s="28" customFormat="1" ht="15" customHeight="1" x14ac:dyDescent="0.25">
      <c r="A19" s="110"/>
      <c r="B19" s="95"/>
      <c r="C19" s="95"/>
      <c r="D19" s="95"/>
      <c r="E19" s="95"/>
      <c r="F19" s="95"/>
    </row>
    <row r="20" spans="1:6" s="28" customFormat="1" ht="15" customHeight="1" x14ac:dyDescent="0.25">
      <c r="A20" s="110"/>
      <c r="B20" s="95"/>
      <c r="C20" s="95"/>
      <c r="D20" s="95"/>
      <c r="E20" s="95"/>
      <c r="F20" s="95"/>
    </row>
    <row r="21" spans="1:6" s="28" customFormat="1" ht="15" customHeight="1" x14ac:dyDescent="0.25">
      <c r="A21" s="110"/>
      <c r="B21" s="95"/>
      <c r="C21" s="95"/>
      <c r="D21" s="95"/>
      <c r="E21" s="95"/>
      <c r="F21" s="95"/>
    </row>
    <row r="22" spans="1:6" s="28" customFormat="1" ht="15" hidden="1" customHeight="1" x14ac:dyDescent="0.25"/>
    <row r="23" spans="1:6" s="28" customFormat="1" ht="15" hidden="1" customHeight="1" x14ac:dyDescent="0.25">
      <c r="D23" s="30"/>
    </row>
    <row r="24" spans="1:6" s="28" customFormat="1" hidden="1" x14ac:dyDescent="0.25">
      <c r="A24" s="29"/>
      <c r="D24" s="31"/>
      <c r="F24" s="29"/>
    </row>
    <row r="25" spans="1:6" hidden="1" x14ac:dyDescent="0.25">
      <c r="B25" s="28"/>
      <c r="C25" s="28"/>
      <c r="D25" s="30"/>
      <c r="E25" s="28"/>
    </row>
    <row r="26" spans="1:6" hidden="1" x14ac:dyDescent="0.25">
      <c r="B26" s="28"/>
      <c r="C26" s="28"/>
    </row>
    <row r="27" spans="1:6" hidden="1" x14ac:dyDescent="0.25">
      <c r="B27" s="28"/>
      <c r="C27" s="28"/>
    </row>
  </sheetData>
  <mergeCells count="9">
    <mergeCell ref="D12:E12"/>
    <mergeCell ref="D14:E14"/>
    <mergeCell ref="D13:E13"/>
    <mergeCell ref="D15:E15"/>
    <mergeCell ref="C6:E7"/>
    <mergeCell ref="D8:E8"/>
    <mergeCell ref="D9:E9"/>
    <mergeCell ref="D10:E10"/>
    <mergeCell ref="D11:E11"/>
  </mergeCells>
  <dataValidations count="2">
    <dataValidation type="whole" allowBlank="1" showInputMessage="1" showErrorMessage="1" errorTitle="Atenção" error="Informe apenas números sem pontos e barras. " sqref="D11" xr:uid="{935C908C-86B3-49A1-9BC9-BF0456DD4010}">
      <formula1>0</formula1>
      <formula2>1E+22</formula2>
    </dataValidation>
    <dataValidation type="date" allowBlank="1" showInputMessage="1" showErrorMessage="1" errorTitle="Atenção" error="Insira uma data válida!_x000a_" sqref="D14" xr:uid="{A6771F33-D5A3-4FA2-A550-BF88FAA85737}">
      <formula1>36161</formula1>
      <formula2>82527</formula2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109CF3-2C6D-48FE-B9D4-74EAA5F66B7A}">
          <x14:formula1>
            <xm:f>Auxiliar!$D$2:$D$18</xm:f>
          </x14:formula1>
          <xm:sqref>D13</xm:sqref>
        </x14:dataValidation>
        <x14:dataValidation type="list" allowBlank="1" showInputMessage="1" showErrorMessage="1" xr:uid="{602EB78A-DABA-492A-BBBD-A74BA1595107}">
          <x14:formula1>
            <xm:f>Auxiliar!$L$2:$L$18</xm:f>
          </x14:formula1>
          <xm:sqref>D12</xm:sqref>
        </x14:dataValidation>
        <x14:dataValidation type="custom" allowBlank="1" showInputMessage="1" showErrorMessage="1" errorTitle="Atenção" error="Este número de projeto já existe na base." xr:uid="{417402BD-6C8C-47B1-8BAE-96B4315B7E0A}">
          <x14:formula1>
            <xm:f>COUNTIF(Projetos!$A:$A,$D$8)=0</xm:f>
          </x14:formula1>
          <xm:sqref>D8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042C2-4BEA-4950-9F88-D44C7872A22E}">
  <sheetPr codeName="Planilha21">
    <tabColor theme="5" tint="-0.249977111117893"/>
  </sheetPr>
  <dimension ref="A1:R27"/>
  <sheetViews>
    <sheetView showGridLines="0" showRowColHeaders="0" zoomScale="150" zoomScaleNormal="150" workbookViewId="0"/>
  </sheetViews>
  <sheetFormatPr defaultRowHeight="15" x14ac:dyDescent="0.25"/>
  <cols>
    <col min="1" max="1" width="32.42578125" style="29" customWidth="1"/>
    <col min="2" max="2" width="2.7109375" style="29" customWidth="1"/>
    <col min="3" max="3" width="20.7109375" style="29" customWidth="1"/>
    <col min="4" max="4" width="19.42578125" style="29" customWidth="1"/>
    <col min="5" max="5" width="21.140625" style="29" customWidth="1"/>
    <col min="6" max="6" width="15.42578125" style="29" customWidth="1"/>
    <col min="7" max="7" width="20.28515625" style="29" customWidth="1"/>
    <col min="8" max="8" width="2.7109375" style="29" customWidth="1"/>
    <col min="9" max="9" width="3.28515625" style="29" customWidth="1"/>
    <col min="10" max="14" width="11.42578125" style="29" customWidth="1"/>
    <col min="15" max="15" width="11.42578125" style="60" customWidth="1"/>
    <col min="16" max="16" width="16.85546875" style="29" bestFit="1" customWidth="1"/>
    <col min="17" max="17" width="11.42578125" style="29" customWidth="1"/>
    <col min="18" max="18" width="21.28515625" style="29" bestFit="1" customWidth="1"/>
    <col min="19" max="16384" width="9.140625" style="29"/>
  </cols>
  <sheetData>
    <row r="1" spans="1:15" ht="39.950000000000003" customHeight="1" x14ac:dyDescent="0.25">
      <c r="A1" s="128" t="e" vm="1">
        <v>#VALUE!</v>
      </c>
      <c r="B1" s="42"/>
      <c r="C1" s="45" t="s">
        <v>156</v>
      </c>
      <c r="D1" s="44"/>
      <c r="E1" s="44"/>
      <c r="F1" s="44"/>
      <c r="G1" s="44"/>
      <c r="H1" s="44"/>
      <c r="I1" s="103"/>
    </row>
    <row r="2" spans="1:15" s="28" customFormat="1" ht="14.25" customHeight="1" x14ac:dyDescent="0.25">
      <c r="A2" s="34"/>
      <c r="B2" s="37"/>
      <c r="C2" s="37"/>
      <c r="D2" s="37"/>
      <c r="E2" s="37"/>
      <c r="F2" s="37"/>
      <c r="G2" s="37"/>
      <c r="H2" s="95"/>
      <c r="I2" s="107"/>
      <c r="O2" s="61"/>
    </row>
    <row r="3" spans="1:15" s="28" customFormat="1" ht="14.25" customHeight="1" x14ac:dyDescent="0.25">
      <c r="A3" s="35"/>
      <c r="B3" s="38"/>
      <c r="C3" s="41"/>
      <c r="D3" s="38"/>
      <c r="E3" s="38"/>
      <c r="F3" s="38"/>
      <c r="G3" s="38"/>
      <c r="H3" s="97"/>
      <c r="I3" s="107"/>
      <c r="O3" s="61"/>
    </row>
    <row r="4" spans="1:15" s="28" customFormat="1" ht="14.25" customHeight="1" x14ac:dyDescent="0.25">
      <c r="A4" s="35"/>
      <c r="B4" s="38"/>
      <c r="C4" s="41"/>
      <c r="D4" s="38"/>
      <c r="E4" s="38"/>
      <c r="F4" s="38"/>
      <c r="G4" s="38"/>
      <c r="H4" s="97"/>
      <c r="I4" s="107"/>
      <c r="O4" s="61"/>
    </row>
    <row r="5" spans="1:15" s="28" customFormat="1" ht="15" customHeight="1" x14ac:dyDescent="0.25">
      <c r="A5" s="33"/>
      <c r="B5" s="39"/>
      <c r="C5" s="39"/>
      <c r="D5" s="39"/>
      <c r="E5" s="39"/>
      <c r="F5" s="39"/>
      <c r="G5" s="39"/>
      <c r="H5" s="95"/>
      <c r="I5" s="107"/>
      <c r="O5" s="61"/>
    </row>
    <row r="6" spans="1:15" s="28" customFormat="1" ht="15" customHeight="1" x14ac:dyDescent="0.25">
      <c r="A6" s="33"/>
      <c r="B6" s="39"/>
      <c r="C6" s="65" t="s">
        <v>165</v>
      </c>
      <c r="D6" s="66"/>
      <c r="E6" s="37"/>
      <c r="F6" s="47" t="s">
        <v>170</v>
      </c>
      <c r="G6" s="94" t="str">
        <f>IF(F7="","Insira o número do projeto para lançar o custo.","")</f>
        <v/>
      </c>
      <c r="H6" s="95"/>
      <c r="I6" s="107"/>
      <c r="O6" s="61"/>
    </row>
    <row r="7" spans="1:15" s="28" customFormat="1" ht="15" customHeight="1" x14ac:dyDescent="0.25">
      <c r="A7" s="33"/>
      <c r="B7" s="39"/>
      <c r="C7" s="67"/>
      <c r="D7" s="68"/>
      <c r="E7" s="37"/>
      <c r="F7" s="79">
        <v>202500077</v>
      </c>
      <c r="G7" s="94"/>
      <c r="H7" s="111" t="s">
        <v>173</v>
      </c>
      <c r="I7" s="107"/>
      <c r="O7" s="61"/>
    </row>
    <row r="8" spans="1:15" s="28" customFormat="1" ht="15" customHeight="1" x14ac:dyDescent="0.25">
      <c r="A8" s="33"/>
      <c r="B8" s="39"/>
      <c r="C8" s="57" t="s">
        <v>146</v>
      </c>
      <c r="D8" s="55"/>
      <c r="E8" s="37"/>
      <c r="F8" s="37"/>
      <c r="G8" s="37"/>
      <c r="H8" s="95"/>
      <c r="I8" s="107"/>
      <c r="O8" s="61"/>
    </row>
    <row r="9" spans="1:15" s="28" customFormat="1" ht="15" customHeight="1" x14ac:dyDescent="0.25">
      <c r="A9" s="33"/>
      <c r="B9" s="39"/>
      <c r="C9" s="57" t="s">
        <v>93</v>
      </c>
      <c r="D9" s="55"/>
      <c r="E9" s="37"/>
      <c r="F9" s="77" t="s">
        <v>171</v>
      </c>
      <c r="G9" s="78"/>
      <c r="H9" s="95"/>
      <c r="I9" s="107"/>
      <c r="O9" s="61"/>
    </row>
    <row r="10" spans="1:15" s="28" customFormat="1" ht="15" customHeight="1" x14ac:dyDescent="0.25">
      <c r="A10" s="33"/>
      <c r="B10" s="39"/>
      <c r="C10" s="57" t="s">
        <v>154</v>
      </c>
      <c r="D10" s="55"/>
      <c r="E10" s="37"/>
      <c r="F10" s="81" t="str">
        <f>SUBSTITUTE(SUBSTITUTE(SUBSTITUTE(SUBSTITUTE(SUBSTITUTE(SUBSTITUTE(SUBSTITUTE(SUBSTITUTE(SUBSTITUTE(SUBSTITUTE(PROPER(_xlfn.XLOOKUP(F7,Projetos!A:A,Projetos!B:B,"não encontrado",0)),"De","de"),"Da","da"),"Do","do"),"Das","das"),"Dos","dos"),"Em","em"),"E","e"),"Para","para"),"Por","por"),"Com","com")</f>
        <v>Clínica de Multiatendimentos Sesi Rio Verde</v>
      </c>
      <c r="G10" s="82"/>
      <c r="H10" s="95"/>
      <c r="I10" s="107"/>
      <c r="O10" s="61"/>
    </row>
    <row r="11" spans="1:15" s="28" customFormat="1" ht="15" customHeight="1" x14ac:dyDescent="0.25">
      <c r="A11" s="33"/>
      <c r="B11" s="40"/>
      <c r="C11" s="57" t="s">
        <v>94</v>
      </c>
      <c r="D11" s="55"/>
      <c r="E11" s="37"/>
      <c r="F11" s="37"/>
      <c r="G11" s="37"/>
      <c r="H11" s="95"/>
      <c r="I11" s="107"/>
      <c r="O11" s="61"/>
    </row>
    <row r="12" spans="1:15" s="28" customFormat="1" ht="15" customHeight="1" x14ac:dyDescent="0.25">
      <c r="A12" s="33"/>
      <c r="B12" s="39"/>
      <c r="C12" s="58" t="s">
        <v>117</v>
      </c>
      <c r="D12" s="56"/>
      <c r="E12" s="37"/>
      <c r="F12" s="76" t="s">
        <v>157</v>
      </c>
      <c r="G12" s="89">
        <v>0.1</v>
      </c>
      <c r="H12" s="95"/>
      <c r="I12" s="107"/>
      <c r="O12" s="61"/>
    </row>
    <row r="13" spans="1:15" s="28" customFormat="1" ht="15" customHeight="1" x14ac:dyDescent="0.25">
      <c r="A13" s="33"/>
      <c r="B13" s="37"/>
      <c r="C13" s="37"/>
      <c r="D13" s="37"/>
      <c r="E13" s="37"/>
      <c r="F13" s="90" t="s">
        <v>158</v>
      </c>
      <c r="G13" s="91">
        <v>0.25</v>
      </c>
      <c r="H13" s="95"/>
      <c r="I13" s="107"/>
      <c r="O13" s="61"/>
    </row>
    <row r="14" spans="1:15" s="28" customFormat="1" ht="15" customHeight="1" x14ac:dyDescent="0.25">
      <c r="A14" s="36"/>
      <c r="B14" s="37"/>
      <c r="C14" s="65" t="s">
        <v>164</v>
      </c>
      <c r="D14" s="66"/>
      <c r="E14" s="37"/>
      <c r="F14" s="92" t="s">
        <v>169</v>
      </c>
      <c r="G14" s="93">
        <v>0</v>
      </c>
      <c r="H14" s="95"/>
      <c r="I14" s="107"/>
      <c r="O14" s="61"/>
    </row>
    <row r="15" spans="1:15" s="28" customFormat="1" ht="15" customHeight="1" x14ac:dyDescent="0.25">
      <c r="A15" s="36"/>
      <c r="B15" s="37"/>
      <c r="C15" s="67"/>
      <c r="D15" s="68"/>
      <c r="E15" s="37"/>
      <c r="F15" s="37"/>
      <c r="G15" s="37"/>
      <c r="H15" s="95"/>
      <c r="I15" s="107"/>
      <c r="O15" s="61"/>
    </row>
    <row r="16" spans="1:15" s="28" customFormat="1" ht="15" customHeight="1" x14ac:dyDescent="0.25">
      <c r="A16" s="36"/>
      <c r="B16" s="37"/>
      <c r="C16" s="57" t="s">
        <v>146</v>
      </c>
      <c r="D16" s="55"/>
      <c r="E16" s="37"/>
      <c r="F16" s="69" t="s">
        <v>159</v>
      </c>
      <c r="G16" s="70"/>
      <c r="H16" s="95"/>
      <c r="I16" s="107"/>
      <c r="O16" s="61"/>
    </row>
    <row r="17" spans="1:18" s="28" customFormat="1" ht="15" customHeight="1" x14ac:dyDescent="0.25">
      <c r="A17" s="36"/>
      <c r="B17" s="37"/>
      <c r="C17" s="57" t="s">
        <v>93</v>
      </c>
      <c r="D17" s="55"/>
      <c r="E17" s="37"/>
      <c r="F17" s="50" t="s">
        <v>167</v>
      </c>
      <c r="G17" s="48">
        <f>SUM($P$21+$R$21)</f>
        <v>11650</v>
      </c>
      <c r="H17" s="95"/>
      <c r="I17" s="107"/>
      <c r="O17" s="61"/>
    </row>
    <row r="18" spans="1:18" s="28" customFormat="1" ht="15" customHeight="1" x14ac:dyDescent="0.25">
      <c r="A18" s="36"/>
      <c r="B18" s="37"/>
      <c r="C18" s="57" t="s">
        <v>94</v>
      </c>
      <c r="D18" s="55"/>
      <c r="E18" s="37"/>
      <c r="F18" s="51" t="s">
        <v>157</v>
      </c>
      <c r="G18" s="54">
        <f>G17*$G$12</f>
        <v>1165</v>
      </c>
      <c r="H18" s="95"/>
      <c r="I18" s="107"/>
      <c r="O18" s="61"/>
    </row>
    <row r="19" spans="1:18" s="28" customFormat="1" ht="15" customHeight="1" x14ac:dyDescent="0.25">
      <c r="A19" s="43"/>
      <c r="B19" s="37"/>
      <c r="C19" s="57" t="s">
        <v>168</v>
      </c>
      <c r="D19" s="55"/>
      <c r="E19" s="37"/>
      <c r="F19" s="50" t="s">
        <v>158</v>
      </c>
      <c r="G19" s="48">
        <f>(G17+G18)*$G$13</f>
        <v>3203.75</v>
      </c>
      <c r="H19" s="95"/>
      <c r="I19" s="107"/>
      <c r="O19" s="61"/>
    </row>
    <row r="20" spans="1:18" s="28" customFormat="1" ht="15" customHeight="1" x14ac:dyDescent="0.25">
      <c r="A20" s="43"/>
      <c r="B20" s="37"/>
      <c r="C20" s="58" t="s">
        <v>160</v>
      </c>
      <c r="D20" s="62"/>
      <c r="E20" s="37"/>
      <c r="F20" s="52" t="s">
        <v>162</v>
      </c>
      <c r="G20" s="49">
        <f>SUM(G19+G18+G17)-G14</f>
        <v>16018.75</v>
      </c>
      <c r="H20" s="95"/>
      <c r="I20" s="107"/>
      <c r="O20" s="61"/>
      <c r="P20" s="63" t="s">
        <v>143</v>
      </c>
      <c r="R20" s="63" t="s">
        <v>143</v>
      </c>
    </row>
    <row r="21" spans="1:18" x14ac:dyDescent="0.25">
      <c r="A21" s="36"/>
      <c r="B21" s="95"/>
      <c r="C21" s="95"/>
      <c r="D21" s="95"/>
      <c r="E21" s="95"/>
      <c r="F21" s="95"/>
      <c r="G21" s="95"/>
      <c r="H21" s="95"/>
      <c r="I21" s="103"/>
      <c r="P21" s="64">
        <f>SUM(Tabela19[Custo 3º])</f>
        <v>11490</v>
      </c>
      <c r="R21" s="64">
        <f>SUM(Tabela19[[Custo Total Previsto ]])</f>
        <v>160</v>
      </c>
    </row>
    <row r="22" spans="1:18" x14ac:dyDescent="0.25">
      <c r="A22" s="103"/>
      <c r="B22" s="103"/>
      <c r="C22" s="103"/>
      <c r="D22" s="103"/>
      <c r="E22" s="103"/>
      <c r="F22" s="103"/>
      <c r="G22" s="103"/>
      <c r="H22" s="103"/>
    </row>
    <row r="23" spans="1:18" x14ac:dyDescent="0.25">
      <c r="J23" s="46" t="s">
        <v>146</v>
      </c>
      <c r="K23" s="46" t="s">
        <v>93</v>
      </c>
      <c r="L23" s="46" t="s">
        <v>154</v>
      </c>
      <c r="M23" s="46" t="s">
        <v>94</v>
      </c>
      <c r="N23" s="46" t="s">
        <v>117</v>
      </c>
      <c r="O23" s="59" t="s">
        <v>168</v>
      </c>
      <c r="P23" s="59" t="s">
        <v>163</v>
      </c>
      <c r="Q23" s="53" t="s">
        <v>142</v>
      </c>
      <c r="R23" s="53" t="s">
        <v>143</v>
      </c>
    </row>
    <row r="24" spans="1:18" x14ac:dyDescent="0.25">
      <c r="J24" s="71">
        <v>202500077</v>
      </c>
      <c r="K24" s="71" t="s">
        <v>95</v>
      </c>
      <c r="L24" s="71" t="s">
        <v>98</v>
      </c>
      <c r="M24" s="71" t="s">
        <v>21</v>
      </c>
      <c r="N24" s="71">
        <v>2</v>
      </c>
      <c r="O24" s="71"/>
      <c r="P24" s="71"/>
      <c r="Q24" s="71">
        <f>IF(SUMIF(Auxiliar!D:D,Tabela19[[#This Row],[Responsável]],Auxiliar!E:E)=0,"",SUMIF(Auxiliar!D:D,Tabela19[[#This Row],[Responsável]],Auxiliar!E:E))</f>
        <v>25</v>
      </c>
      <c r="R24" s="71">
        <f>IFERROR(IF(Tabela19[[#This Row],[Horas Previstas]]*Tabela19[[#This Row],[Valor da Hora ]]=0,"",Tabela19[[#This Row],[Horas Previstas]]*Tabela19[[#This Row],[Valor da Hora ]]),"")</f>
        <v>50</v>
      </c>
    </row>
    <row r="25" spans="1:18" x14ac:dyDescent="0.25">
      <c r="J25" s="71">
        <v>202500077</v>
      </c>
      <c r="K25" s="71" t="s">
        <v>126</v>
      </c>
      <c r="L25" s="71"/>
      <c r="M25" s="71" t="s">
        <v>50</v>
      </c>
      <c r="N25" s="71"/>
      <c r="O25" s="71" t="s">
        <v>119</v>
      </c>
      <c r="P25" s="72">
        <v>11490</v>
      </c>
      <c r="Q25" s="71">
        <f>IF(SUMIF(Auxiliar!D:D,Tabela19[[#This Row],[Responsável]],Auxiliar!E:E)=0,"",SUMIF(Auxiliar!D:D,Tabela19[[#This Row],[Responsável]],Auxiliar!E:E))</f>
        <v>45</v>
      </c>
      <c r="R25" s="71" t="str">
        <f>IFERROR(IF(Tabela19[[#This Row],[Horas Previstas]]*Tabela19[[#This Row],[Valor da Hora ]]=0,"",Tabela19[[#This Row],[Horas Previstas]]*Tabela19[[#This Row],[Valor da Hora ]]),"")</f>
        <v/>
      </c>
    </row>
    <row r="26" spans="1:18" x14ac:dyDescent="0.25">
      <c r="J26" s="71">
        <v>202500077</v>
      </c>
      <c r="K26" s="71" t="s">
        <v>95</v>
      </c>
      <c r="L26" s="71" t="s">
        <v>98</v>
      </c>
      <c r="M26" s="71" t="s">
        <v>12</v>
      </c>
      <c r="N26" s="71">
        <v>2</v>
      </c>
      <c r="O26" s="71"/>
      <c r="P26" s="71"/>
      <c r="Q26" s="71">
        <f>IF(SUMIF(Auxiliar!D:D,Tabela19[[#This Row],[Responsável]],Auxiliar!E:E)=0,"",SUMIF(Auxiliar!D:D,Tabela19[[#This Row],[Responsável]],Auxiliar!E:E))</f>
        <v>55</v>
      </c>
      <c r="R26" s="71">
        <f>IFERROR(IF(Tabela19[[#This Row],[Horas Previstas]]*Tabela19[[#This Row],[Valor da Hora ]]=0,"",Tabela19[[#This Row],[Horas Previstas]]*Tabela19[[#This Row],[Valor da Hora ]]),"")</f>
        <v>110</v>
      </c>
    </row>
    <row r="27" spans="1:18" x14ac:dyDescent="0.25">
      <c r="J27" s="71"/>
      <c r="K27" s="71"/>
      <c r="L27" s="71"/>
      <c r="M27" s="71"/>
      <c r="N27" s="71"/>
      <c r="O27" s="71"/>
      <c r="P27" s="71"/>
      <c r="Q27" s="80" t="str">
        <f>IF(SUMIF(Auxiliar!D:D,Tabela19[[#This Row],[Responsável]],Auxiliar!E:E)=0,"",SUMIF(Auxiliar!D:D,Tabela19[[#This Row],[Responsável]],Auxiliar!E:E))</f>
        <v/>
      </c>
      <c r="R27" s="80" t="str">
        <f>IFERROR(IF(Tabela19[[#This Row],[Horas Previstas]]*Tabela19[[#This Row],[Valor da Hora ]]=0,"",Tabela19[[#This Row],[Horas Previstas]]*Tabela19[[#This Row],[Valor da Hora ]]),"")</f>
        <v/>
      </c>
    </row>
  </sheetData>
  <mergeCells count="6">
    <mergeCell ref="C6:D7"/>
    <mergeCell ref="F16:G16"/>
    <mergeCell ref="C14:D15"/>
    <mergeCell ref="F9:G9"/>
    <mergeCell ref="F10:G10"/>
    <mergeCell ref="G6:G7"/>
  </mergeCells>
  <dataValidations count="1">
    <dataValidation type="list" allowBlank="1" showInputMessage="1" showErrorMessage="1" sqref="D8" xr:uid="{3D1C022E-5190-4C18-97CA-9E3C1C781E11}">
      <formula1>$F$7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A7DD1B-64A9-43CC-9921-E019A5364A1E}">
          <x14:formula1>
            <xm:f>Auxiliar!$J:$J</xm:f>
          </x14:formula1>
          <xm:sqref>D9 D17</xm:sqref>
        </x14:dataValidation>
        <x14:dataValidation type="list" allowBlank="1" showInputMessage="1" showErrorMessage="1" xr:uid="{11088E07-EE6C-4AED-96F7-0418178C4229}">
          <x14:formula1>
            <xm:f>Auxiliar!$N:$N</xm:f>
          </x14:formula1>
          <xm:sqref>D10</xm:sqref>
        </x14:dataValidation>
        <x14:dataValidation type="list" allowBlank="1" showInputMessage="1" showErrorMessage="1" xr:uid="{54B204D9-CBED-44EC-9CC0-C8EBFDF93275}">
          <x14:formula1>
            <xm:f>Auxiliar!$D:$D</xm:f>
          </x14:formula1>
          <xm:sqref>D11 D18</xm:sqref>
        </x14:dataValidation>
        <x14:dataValidation type="list" allowBlank="1" showInputMessage="1" showErrorMessage="1" xr:uid="{AAF7B5F1-8E4D-490A-A2AF-FED9CBB823AD}">
          <x14:formula1>
            <xm:f>Projetos!$A:$A</xm:f>
          </x14:formula1>
          <xm:sqref>D16 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17EFE-A30E-4922-B777-D6F1AF1EA7E6}">
  <sheetPr codeName="Planilha1">
    <tabColor rgb="FF00B0F0"/>
  </sheetPr>
  <dimension ref="A1:G2"/>
  <sheetViews>
    <sheetView zoomScale="115" zoomScaleNormal="115" workbookViewId="0">
      <selection activeCell="D18" sqref="D18"/>
    </sheetView>
  </sheetViews>
  <sheetFormatPr defaultRowHeight="15" x14ac:dyDescent="0.25"/>
  <cols>
    <col min="1" max="6" width="26.85546875" style="19" customWidth="1"/>
    <col min="7" max="7" width="37.140625" style="19" customWidth="1"/>
  </cols>
  <sheetData>
    <row r="1" spans="1:7" x14ac:dyDescent="0.25">
      <c r="A1" s="85" t="s">
        <v>150</v>
      </c>
      <c r="B1" s="85" t="s">
        <v>149</v>
      </c>
      <c r="C1" s="85" t="s">
        <v>93</v>
      </c>
      <c r="D1" s="85" t="s">
        <v>154</v>
      </c>
      <c r="E1" s="85" t="s">
        <v>94</v>
      </c>
      <c r="F1" s="85" t="s">
        <v>175</v>
      </c>
      <c r="G1" s="86" t="s">
        <v>176</v>
      </c>
    </row>
    <row r="2" spans="1:7" x14ac:dyDescent="0.25">
      <c r="A2" s="19">
        <v>202500077</v>
      </c>
      <c r="B2" s="87">
        <v>46036</v>
      </c>
      <c r="C2" s="19" t="s">
        <v>95</v>
      </c>
      <c r="D2" s="19" t="s">
        <v>178</v>
      </c>
      <c r="E2" s="19" t="s">
        <v>21</v>
      </c>
      <c r="F2" s="19">
        <v>1</v>
      </c>
      <c r="G2" s="19" t="s">
        <v>187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F3B46-D553-4945-97D3-33E7ADDE85E5}">
  <sheetPr codeName="Planilha18">
    <tabColor rgb="FF00B050"/>
  </sheetPr>
  <dimension ref="A1:H3"/>
  <sheetViews>
    <sheetView workbookViewId="0">
      <selection activeCell="D18" sqref="D18"/>
    </sheetView>
  </sheetViews>
  <sheetFormatPr defaultRowHeight="15" x14ac:dyDescent="0.25"/>
  <cols>
    <col min="1" max="1" width="23.85546875" style="1" customWidth="1"/>
    <col min="2" max="2" width="59.28515625" style="1" customWidth="1"/>
    <col min="3" max="3" width="18" style="1" customWidth="1"/>
    <col min="4" max="4" width="28.42578125" style="32" customWidth="1"/>
    <col min="5" max="5" width="31" style="1" customWidth="1"/>
    <col min="6" max="7" width="23.85546875" style="1" customWidth="1"/>
    <col min="8" max="8" width="123.28515625" style="1" bestFit="1" customWidth="1"/>
    <col min="9" max="16384" width="9.140625" style="1"/>
  </cols>
  <sheetData>
    <row r="1" spans="1:8" x14ac:dyDescent="0.25">
      <c r="A1" s="1" t="s">
        <v>147</v>
      </c>
      <c r="B1" s="1" t="s">
        <v>1</v>
      </c>
      <c r="C1" s="1" t="s">
        <v>144</v>
      </c>
      <c r="D1" s="32" t="s">
        <v>145</v>
      </c>
      <c r="E1" s="1" t="s">
        <v>148</v>
      </c>
      <c r="F1" s="1" t="s">
        <v>153</v>
      </c>
      <c r="G1" s="1" t="s">
        <v>149</v>
      </c>
      <c r="H1" s="1" t="s">
        <v>152</v>
      </c>
    </row>
    <row r="2" spans="1:8" ht="14.25" customHeight="1" x14ac:dyDescent="0.25">
      <c r="A2" s="1">
        <v>202500077</v>
      </c>
      <c r="B2" s="1" t="s">
        <v>185</v>
      </c>
      <c r="C2" s="1" t="s">
        <v>186</v>
      </c>
      <c r="D2" s="32">
        <v>3786187000199</v>
      </c>
      <c r="E2" s="1" t="s">
        <v>11</v>
      </c>
      <c r="F2" s="1" t="s">
        <v>12</v>
      </c>
      <c r="G2" s="20">
        <v>45664</v>
      </c>
      <c r="H2" s="1" t="s">
        <v>172</v>
      </c>
    </row>
    <row r="3" spans="1:8" x14ac:dyDescent="0.25">
      <c r="G3" s="20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95FA-C085-410B-8AB0-FB5C843393EE}">
  <sheetPr codeName="Planilha14">
    <tabColor theme="5" tint="-0.249977111117893"/>
  </sheetPr>
  <dimension ref="A1:I4"/>
  <sheetViews>
    <sheetView workbookViewId="0">
      <selection activeCell="E11" sqref="E11"/>
    </sheetView>
  </sheetViews>
  <sheetFormatPr defaultRowHeight="21" customHeight="1" x14ac:dyDescent="0.25"/>
  <cols>
    <col min="1" max="1" width="24.28515625" style="134" customWidth="1"/>
    <col min="2" max="3" width="30.85546875" style="134" bestFit="1" customWidth="1"/>
    <col min="4" max="7" width="24.28515625" style="134" customWidth="1"/>
    <col min="8" max="9" width="24.28515625" style="135" customWidth="1"/>
    <col min="10" max="16384" width="9.140625" style="134"/>
  </cols>
  <sheetData>
    <row r="1" spans="1:9" s="83" customFormat="1" ht="21" customHeight="1" x14ac:dyDescent="0.25">
      <c r="A1" s="132" t="s">
        <v>146</v>
      </c>
      <c r="B1" s="132" t="s">
        <v>93</v>
      </c>
      <c r="C1" s="132" t="s">
        <v>154</v>
      </c>
      <c r="D1" s="132" t="s">
        <v>94</v>
      </c>
      <c r="E1" s="132" t="s">
        <v>117</v>
      </c>
      <c r="F1" s="132" t="s">
        <v>168</v>
      </c>
      <c r="G1" s="132" t="s">
        <v>163</v>
      </c>
      <c r="H1" s="133" t="s">
        <v>142</v>
      </c>
      <c r="I1" s="133" t="s">
        <v>143</v>
      </c>
    </row>
    <row r="2" spans="1:9" ht="21" customHeight="1" x14ac:dyDescent="0.25">
      <c r="A2" s="73">
        <v>202500077</v>
      </c>
      <c r="B2" s="73" t="s">
        <v>95</v>
      </c>
      <c r="C2" s="73" t="s">
        <v>98</v>
      </c>
      <c r="D2" s="73" t="s">
        <v>21</v>
      </c>
      <c r="E2" s="73">
        <v>2</v>
      </c>
      <c r="F2" s="73"/>
      <c r="G2" s="75"/>
      <c r="H2" s="74">
        <v>25</v>
      </c>
      <c r="I2" s="74">
        <v>50</v>
      </c>
    </row>
    <row r="3" spans="1:9" ht="21" customHeight="1" x14ac:dyDescent="0.25">
      <c r="A3" s="73">
        <v>202500077</v>
      </c>
      <c r="B3" s="73" t="s">
        <v>126</v>
      </c>
      <c r="C3" s="73"/>
      <c r="D3" s="73" t="s">
        <v>50</v>
      </c>
      <c r="E3" s="73"/>
      <c r="F3" s="73" t="s">
        <v>119</v>
      </c>
      <c r="G3" s="75">
        <v>11490</v>
      </c>
      <c r="H3" s="74">
        <v>45</v>
      </c>
      <c r="I3" s="74"/>
    </row>
    <row r="4" spans="1:9" ht="21" customHeight="1" x14ac:dyDescent="0.25">
      <c r="A4" s="73">
        <v>202500077</v>
      </c>
      <c r="B4" s="73" t="s">
        <v>95</v>
      </c>
      <c r="C4" s="73" t="s">
        <v>98</v>
      </c>
      <c r="D4" s="73" t="s">
        <v>12</v>
      </c>
      <c r="E4" s="73">
        <v>2</v>
      </c>
      <c r="F4" s="73"/>
      <c r="G4" s="73"/>
      <c r="H4" s="74">
        <v>55</v>
      </c>
      <c r="I4" s="74">
        <v>110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5DB5-19D5-4BF7-840B-4DE6314A2F80}">
  <sheetPr codeName="Planilha16">
    <tabColor theme="1" tint="0.249977111117893"/>
  </sheetPr>
  <dimension ref="A1:N36"/>
  <sheetViews>
    <sheetView tabSelected="1" zoomScale="115" zoomScaleNormal="115" workbookViewId="0">
      <selection activeCell="B25" sqref="B25"/>
    </sheetView>
  </sheetViews>
  <sheetFormatPr defaultRowHeight="15" x14ac:dyDescent="0.25"/>
  <cols>
    <col min="1" max="1" width="58.85546875" customWidth="1"/>
    <col min="2" max="2" width="16.7109375" bestFit="1" customWidth="1"/>
    <col min="4" max="4" width="29.140625" customWidth="1"/>
    <col min="5" max="5" width="17.42578125" customWidth="1"/>
    <col min="6" max="6" width="32.140625" bestFit="1" customWidth="1"/>
    <col min="7" max="7" width="6" customWidth="1"/>
    <col min="8" max="8" width="35.5703125" customWidth="1"/>
    <col min="9" max="9" width="5.5703125" customWidth="1"/>
    <col min="10" max="10" width="35.28515625" style="19" customWidth="1"/>
    <col min="11" max="11" width="5.42578125" customWidth="1"/>
    <col min="12" max="12" width="26.7109375" style="19" customWidth="1"/>
    <col min="13" max="13" width="8.42578125" customWidth="1"/>
    <col min="14" max="14" width="54.7109375" customWidth="1"/>
    <col min="15" max="15" width="9.140625" customWidth="1"/>
  </cols>
  <sheetData>
    <row r="1" spans="1:14" ht="15.75" x14ac:dyDescent="0.25">
      <c r="A1" s="27" t="s">
        <v>184</v>
      </c>
      <c r="B1" s="27" t="s">
        <v>140</v>
      </c>
      <c r="D1" s="21" t="s">
        <v>183</v>
      </c>
      <c r="E1" s="21" t="s">
        <v>118</v>
      </c>
      <c r="F1" s="21" t="s">
        <v>116</v>
      </c>
      <c r="H1" s="22" t="s">
        <v>182</v>
      </c>
      <c r="J1" s="22" t="s">
        <v>181</v>
      </c>
      <c r="L1" s="22" t="s">
        <v>180</v>
      </c>
      <c r="N1" s="23" t="s">
        <v>179</v>
      </c>
    </row>
    <row r="2" spans="1:14" ht="15.75" x14ac:dyDescent="0.25">
      <c r="A2" s="1" t="s">
        <v>141</v>
      </c>
      <c r="B2" s="1">
        <v>202500077</v>
      </c>
      <c r="D2" s="25" t="s">
        <v>35</v>
      </c>
      <c r="E2" s="26">
        <v>150</v>
      </c>
      <c r="F2" s="26" t="s">
        <v>71</v>
      </c>
      <c r="H2" s="19" t="s">
        <v>119</v>
      </c>
      <c r="J2" s="19" t="s">
        <v>95</v>
      </c>
      <c r="L2" s="19" t="s">
        <v>120</v>
      </c>
      <c r="N2" s="84" t="s">
        <v>178</v>
      </c>
    </row>
    <row r="3" spans="1:14" ht="15.75" x14ac:dyDescent="0.25">
      <c r="D3" s="25" t="s">
        <v>122</v>
      </c>
      <c r="E3" s="26">
        <v>130</v>
      </c>
      <c r="F3" s="26" t="s">
        <v>123</v>
      </c>
      <c r="H3" s="19" t="s">
        <v>121</v>
      </c>
      <c r="J3" s="19" t="s">
        <v>101</v>
      </c>
      <c r="L3" s="19" t="s">
        <v>11</v>
      </c>
      <c r="N3" s="24" t="s">
        <v>108</v>
      </c>
    </row>
    <row r="4" spans="1:14" ht="15.75" x14ac:dyDescent="0.25">
      <c r="D4" s="25" t="s">
        <v>5</v>
      </c>
      <c r="E4" s="26">
        <v>65</v>
      </c>
      <c r="F4" s="26" t="s">
        <v>72</v>
      </c>
      <c r="H4" s="19" t="s">
        <v>124</v>
      </c>
      <c r="J4" s="19" t="s">
        <v>105</v>
      </c>
      <c r="L4" s="19" t="s">
        <v>125</v>
      </c>
      <c r="N4" s="24" t="s">
        <v>62</v>
      </c>
    </row>
    <row r="5" spans="1:14" ht="15.75" x14ac:dyDescent="0.25">
      <c r="D5" s="25" t="s">
        <v>24</v>
      </c>
      <c r="E5" s="26">
        <v>55</v>
      </c>
      <c r="F5" s="26" t="s">
        <v>73</v>
      </c>
      <c r="H5" s="19"/>
      <c r="J5" s="19" t="s">
        <v>126</v>
      </c>
      <c r="L5" s="19" t="s">
        <v>127</v>
      </c>
      <c r="N5" s="24" t="s">
        <v>110</v>
      </c>
    </row>
    <row r="6" spans="1:14" ht="15.75" x14ac:dyDescent="0.25">
      <c r="D6" s="25" t="s">
        <v>12</v>
      </c>
      <c r="E6" s="26">
        <v>55</v>
      </c>
      <c r="F6" s="26" t="s">
        <v>97</v>
      </c>
      <c r="H6" s="19"/>
      <c r="J6" s="19" t="s">
        <v>109</v>
      </c>
      <c r="L6" s="19" t="s">
        <v>128</v>
      </c>
      <c r="N6" s="24" t="s">
        <v>113</v>
      </c>
    </row>
    <row r="7" spans="1:14" ht="15.75" x14ac:dyDescent="0.25">
      <c r="D7" s="25" t="s">
        <v>130</v>
      </c>
      <c r="E7" s="26">
        <v>55</v>
      </c>
      <c r="F7" s="26" t="s">
        <v>131</v>
      </c>
      <c r="H7" s="19"/>
      <c r="J7" s="19" t="s">
        <v>129</v>
      </c>
      <c r="N7" s="24" t="s">
        <v>112</v>
      </c>
    </row>
    <row r="8" spans="1:14" ht="15.75" x14ac:dyDescent="0.25">
      <c r="D8" s="25" t="s">
        <v>50</v>
      </c>
      <c r="E8" s="26">
        <v>45</v>
      </c>
      <c r="F8" s="26" t="s">
        <v>96</v>
      </c>
      <c r="H8" s="19"/>
      <c r="J8" s="19" t="s">
        <v>132</v>
      </c>
      <c r="N8" s="24" t="s">
        <v>104</v>
      </c>
    </row>
    <row r="9" spans="1:14" ht="15.75" x14ac:dyDescent="0.25">
      <c r="D9" s="25" t="s">
        <v>25</v>
      </c>
      <c r="E9" s="26">
        <v>35</v>
      </c>
      <c r="F9" s="26" t="s">
        <v>133</v>
      </c>
      <c r="H9" s="19"/>
      <c r="J9" s="19" t="s">
        <v>115</v>
      </c>
      <c r="N9" s="24" t="s">
        <v>138</v>
      </c>
    </row>
    <row r="10" spans="1:14" ht="15.75" x14ac:dyDescent="0.25">
      <c r="D10" s="25" t="s">
        <v>26</v>
      </c>
      <c r="E10" s="26">
        <v>35</v>
      </c>
      <c r="F10" s="26" t="s">
        <v>75</v>
      </c>
      <c r="H10" s="19"/>
      <c r="N10" s="24" t="s">
        <v>98</v>
      </c>
    </row>
    <row r="11" spans="1:14" ht="15.75" x14ac:dyDescent="0.25">
      <c r="D11" s="25" t="s">
        <v>21</v>
      </c>
      <c r="E11" s="26">
        <v>25</v>
      </c>
      <c r="F11" s="26" t="s">
        <v>72</v>
      </c>
      <c r="H11" s="19"/>
      <c r="N11" s="24" t="s">
        <v>55</v>
      </c>
    </row>
    <row r="12" spans="1:14" ht="15.75" x14ac:dyDescent="0.25">
      <c r="D12" s="25" t="s">
        <v>134</v>
      </c>
      <c r="E12" s="26">
        <v>25</v>
      </c>
      <c r="F12" s="26" t="s">
        <v>135</v>
      </c>
      <c r="H12" s="19"/>
      <c r="N12" s="24" t="s">
        <v>111</v>
      </c>
    </row>
    <row r="13" spans="1:14" ht="15.75" x14ac:dyDescent="0.25">
      <c r="D13" s="25" t="s">
        <v>136</v>
      </c>
      <c r="E13" s="26">
        <v>25</v>
      </c>
      <c r="F13" s="26" t="s">
        <v>135</v>
      </c>
      <c r="H13" s="19"/>
      <c r="N13" s="24" t="s">
        <v>106</v>
      </c>
    </row>
    <row r="14" spans="1:14" ht="15.75" x14ac:dyDescent="0.25">
      <c r="D14" s="25" t="s">
        <v>137</v>
      </c>
      <c r="E14" s="26">
        <v>25</v>
      </c>
      <c r="F14" s="26" t="s">
        <v>135</v>
      </c>
      <c r="H14" s="19"/>
      <c r="N14" s="24" t="s">
        <v>103</v>
      </c>
    </row>
    <row r="15" spans="1:14" ht="15.75" x14ac:dyDescent="0.25">
      <c r="D15" s="25" t="s">
        <v>58</v>
      </c>
      <c r="E15" s="26">
        <v>15</v>
      </c>
      <c r="F15" s="26" t="s">
        <v>79</v>
      </c>
      <c r="H15" s="19"/>
      <c r="N15" s="24" t="s">
        <v>102</v>
      </c>
    </row>
    <row r="16" spans="1:14" ht="15.75" x14ac:dyDescent="0.25">
      <c r="D16" s="25" t="s">
        <v>166</v>
      </c>
      <c r="E16" s="26">
        <v>0</v>
      </c>
      <c r="F16" s="26" t="s">
        <v>161</v>
      </c>
      <c r="H16" s="19"/>
      <c r="N16" s="24" t="s">
        <v>57</v>
      </c>
    </row>
    <row r="17" spans="4:14" ht="15.75" x14ac:dyDescent="0.25">
      <c r="D17" s="25"/>
      <c r="E17" s="26"/>
      <c r="F17" s="26"/>
      <c r="H17" s="19"/>
      <c r="N17" s="24" t="s">
        <v>99</v>
      </c>
    </row>
    <row r="18" spans="4:14" ht="15.75" x14ac:dyDescent="0.25">
      <c r="D18" s="25"/>
      <c r="E18" s="26"/>
      <c r="F18" s="26"/>
      <c r="H18" s="19"/>
      <c r="N18" s="24" t="s">
        <v>100</v>
      </c>
    </row>
    <row r="19" spans="4:14" ht="15.75" x14ac:dyDescent="0.25">
      <c r="D19" s="25"/>
      <c r="E19" s="26"/>
      <c r="F19" s="26"/>
      <c r="H19" s="88"/>
      <c r="N19" s="24" t="s">
        <v>114</v>
      </c>
    </row>
    <row r="20" spans="4:14" ht="15.75" x14ac:dyDescent="0.25">
      <c r="D20" s="25"/>
      <c r="E20" s="26"/>
      <c r="F20" s="26"/>
      <c r="H20" s="88"/>
      <c r="N20" s="24" t="s">
        <v>139</v>
      </c>
    </row>
    <row r="21" spans="4:14" ht="15.75" x14ac:dyDescent="0.25">
      <c r="D21" s="25"/>
      <c r="E21" s="26"/>
      <c r="F21" s="26"/>
      <c r="H21" s="88"/>
      <c r="N21" s="24" t="s">
        <v>47</v>
      </c>
    </row>
    <row r="22" spans="4:14" x14ac:dyDescent="0.25">
      <c r="N22" s="24" t="s">
        <v>56</v>
      </c>
    </row>
    <row r="23" spans="4:14" x14ac:dyDescent="0.25">
      <c r="N23" s="24" t="s">
        <v>107</v>
      </c>
    </row>
    <row r="24" spans="4:14" x14ac:dyDescent="0.25">
      <c r="N24" s="24"/>
    </row>
    <row r="25" spans="4:14" x14ac:dyDescent="0.25">
      <c r="N25" s="24"/>
    </row>
    <row r="26" spans="4:14" x14ac:dyDescent="0.25">
      <c r="N26" s="24"/>
    </row>
    <row r="27" spans="4:14" x14ac:dyDescent="0.25">
      <c r="N27" s="24"/>
    </row>
    <row r="28" spans="4:14" x14ac:dyDescent="0.25">
      <c r="N28" s="84"/>
    </row>
    <row r="29" spans="4:14" x14ac:dyDescent="0.25">
      <c r="N29" s="84"/>
    </row>
    <row r="30" spans="4:14" x14ac:dyDescent="0.25">
      <c r="N30" s="84"/>
    </row>
    <row r="31" spans="4:14" x14ac:dyDescent="0.25">
      <c r="N31" s="84"/>
    </row>
    <row r="32" spans="4:14" x14ac:dyDescent="0.25">
      <c r="N32" s="84"/>
    </row>
    <row r="33" spans="14:14" x14ac:dyDescent="0.25">
      <c r="N33" s="84"/>
    </row>
    <row r="34" spans="14:14" x14ac:dyDescent="0.25">
      <c r="N34" s="84"/>
    </row>
    <row r="35" spans="14:14" x14ac:dyDescent="0.25">
      <c r="N35" s="84"/>
    </row>
    <row r="36" spans="14:14" x14ac:dyDescent="0.25">
      <c r="N36" s="84"/>
    </row>
  </sheetData>
  <pageMargins left="0.511811024" right="0.511811024" top="0.78740157499999996" bottom="0.78740157499999996" header="0.31496062000000002" footer="0.31496062000000002"/>
  <tableParts count="6">
    <tablePart r:id="rId1"/>
    <tablePart r:id="rId2"/>
    <tablePart r:id="rId3"/>
    <tablePart r:id="rId4"/>
    <tablePart r:id="rId5"/>
    <tablePart r:id="rId6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7267-30A5-42DA-8ED1-453F4D5B6F26}">
  <sheetPr>
    <tabColor rgb="FFFF0000"/>
  </sheetPr>
  <dimension ref="H7:T24"/>
  <sheetViews>
    <sheetView workbookViewId="0">
      <selection activeCell="K33" sqref="K33"/>
    </sheetView>
  </sheetViews>
  <sheetFormatPr defaultRowHeight="15" x14ac:dyDescent="0.25"/>
  <sheetData>
    <row r="7" spans="8:20" x14ac:dyDescent="0.25"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</row>
    <row r="8" spans="8:20" x14ac:dyDescent="0.25"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</row>
    <row r="9" spans="8:20" x14ac:dyDescent="0.25"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</row>
    <row r="10" spans="8:20" x14ac:dyDescent="0.25"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</row>
    <row r="11" spans="8:20" x14ac:dyDescent="0.25"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</row>
    <row r="12" spans="8:20" x14ac:dyDescent="0.25"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</row>
    <row r="13" spans="8:20" x14ac:dyDescent="0.25"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</row>
    <row r="14" spans="8:20" x14ac:dyDescent="0.25"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</row>
    <row r="15" spans="8:20" x14ac:dyDescent="0.25"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</row>
    <row r="16" spans="8:20" x14ac:dyDescent="0.25"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</row>
    <row r="17" spans="8:20" x14ac:dyDescent="0.25"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</row>
    <row r="18" spans="8:20" x14ac:dyDescent="0.25"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</row>
    <row r="19" spans="8:20" x14ac:dyDescent="0.25"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</row>
    <row r="20" spans="8:20" x14ac:dyDescent="0.25"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</row>
    <row r="21" spans="8:20" x14ac:dyDescent="0.25"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</row>
    <row r="22" spans="8:20" x14ac:dyDescent="0.25"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</row>
    <row r="23" spans="8:20" x14ac:dyDescent="0.25"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</row>
    <row r="24" spans="8:20" x14ac:dyDescent="0.25"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C06D06-DD5E-4AE4-A516-584ED42E93E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Tabela Hora x Custo Colaborador</vt:lpstr>
      <vt:lpstr>Classe do Projeto</vt:lpstr>
      <vt:lpstr>Cliente Final</vt:lpstr>
      <vt:lpstr>Fontes de Recursos</vt:lpstr>
      <vt:lpstr>Status do Projeto</vt:lpstr>
      <vt:lpstr>Áreas da Demanda</vt:lpstr>
      <vt:lpstr>Etapas Macro</vt:lpstr>
      <vt:lpstr>Planilha1</vt:lpstr>
      <vt:lpstr>Atividades</vt:lpstr>
      <vt:lpstr>Cadastro</vt:lpstr>
      <vt:lpstr>CadastrodeCusto</vt:lpstr>
      <vt:lpstr>BaseAtividades</vt:lpstr>
      <vt:lpstr>Projetos</vt:lpstr>
      <vt:lpstr>BaseCusto</vt:lpstr>
      <vt:lpstr>Auxiliar</vt:lpstr>
      <vt:lpstr>lOGO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GOMES FERREIRA</dc:creator>
  <cp:keywords/>
  <dc:description/>
  <cp:lastModifiedBy>ELY ANDRE DE MATOS BASTOS</cp:lastModifiedBy>
  <cp:revision/>
  <dcterms:created xsi:type="dcterms:W3CDTF">2024-05-06T18:36:36Z</dcterms:created>
  <dcterms:modified xsi:type="dcterms:W3CDTF">2026-01-14T19:46:16Z</dcterms:modified>
  <cp:category/>
  <cp:contentStatus/>
</cp:coreProperties>
</file>